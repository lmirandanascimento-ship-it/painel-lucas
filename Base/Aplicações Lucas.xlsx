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drawings/drawing10.xml" ContentType="application/vnd.openxmlformats-officedocument.drawing+xml"/>
  <Override PartName="/xl/comments6.xml" ContentType="application/vnd.openxmlformats-officedocument.spreadsheetml.comments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drawings/drawing12.xml" ContentType="application/vnd.openxmlformats-officedocument.drawing+xml"/>
  <Override PartName="/xl/comments7.xml" ContentType="application/vnd.openxmlformats-officedocument.spreadsheetml.comments+xml"/>
  <Override PartName="/xl/drawings/drawing13.xml" ContentType="application/vnd.openxmlformats-officedocument.drawing+xml"/>
  <Override PartName="/xl/charts/chart6.xml" ContentType="application/vnd.openxmlformats-officedocument.drawingml.chart+xml"/>
  <Override PartName="/xl/drawings/drawing14.xml" ContentType="application/vnd.openxmlformats-officedocument.drawing+xml"/>
  <Override PartName="/xl/comments8.xml" ContentType="application/vnd.openxmlformats-officedocument.spreadsheetml.comments+xml"/>
  <Override PartName="/xl/drawings/drawing15.xml" ContentType="application/vnd.openxmlformats-officedocument.drawing+xml"/>
  <Override PartName="/xl/comments9.xml" ContentType="application/vnd.openxmlformats-officedocument.spreadsheetml.comments+xml"/>
  <Override PartName="/xl/drawings/drawing16.xml" ContentType="application/vnd.openxmlformats-officedocument.drawing+xml"/>
  <Override PartName="/xl/charts/chart7.xml" ContentType="application/vnd.openxmlformats-officedocument.drawingml.chart+xml"/>
  <Override PartName="/xl/drawings/drawing17.xml" ContentType="application/vnd.openxmlformats-officedocument.drawing+xml"/>
  <Override PartName="/xl/charts/chart8.xml" ContentType="application/vnd.openxmlformats-officedocument.drawingml.chart+xml"/>
  <Override PartName="/xl/drawings/drawing18.xml" ContentType="application/vnd.openxmlformats-officedocument.drawing+xml"/>
  <Override PartName="/xl/charts/chart9.xml" ContentType="application/vnd.openxmlformats-officedocument.drawingml.chart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drawings/drawing20.xml" ContentType="application/vnd.openxmlformats-officedocument.drawing+xml"/>
  <Override PartName="/xl/comments10.xml" ContentType="application/vnd.openxmlformats-officedocument.spreadsheetml.comments+xml"/>
  <Override PartName="/xl/drawings/drawing21.xml" ContentType="application/vnd.openxmlformats-officedocument.drawing+xml"/>
  <Override PartName="/xl/comments11.xml" ContentType="application/vnd.openxmlformats-officedocument.spreadsheetml.comments+xml"/>
  <Override PartName="/xl/drawings/drawing22.xml" ContentType="application/vnd.openxmlformats-officedocument.drawing+xml"/>
  <Override PartName="/xl/comments12.xml" ContentType="application/vnd.openxmlformats-officedocument.spreadsheetml.comments+xml"/>
  <Override PartName="/xl/drawings/drawing23.xml" ContentType="application/vnd.openxmlformats-officedocument.drawing+xml"/>
  <Override PartName="/xl/comments13.xml" ContentType="application/vnd.openxmlformats-officedocument.spreadsheetml.comments+xml"/>
  <Override PartName="/xl/drawings/drawing24.xml" ContentType="application/vnd.openxmlformats-officedocument.drawing+xml"/>
  <Override PartName="/xl/comments14.xml" ContentType="application/vnd.openxmlformats-officedocument.spreadsheetml.comments+xml"/>
  <Override PartName="/xl/drawings/drawing25.xml" ContentType="application/vnd.openxmlformats-officedocument.drawing+xml"/>
  <Override PartName="/xl/comments15.xml" ContentType="application/vnd.openxmlformats-officedocument.spreadsheetml.comments+xml"/>
  <Override PartName="/xl/drawings/drawing26.xml" ContentType="application/vnd.openxmlformats-officedocument.drawing+xml"/>
  <Override PartName="/xl/comments16.xml" ContentType="application/vnd.openxmlformats-officedocument.spreadsheetml.comments+xml"/>
  <Override PartName="/xl/drawings/drawing2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sumo da Exportação" sheetId="1" r:id="rId5"/>
    <sheet name="AÇÕES - Visão Geral" sheetId="2" r:id="rId6"/>
    <sheet name="AÇÕES - REFERENCIAL" sheetId="3" r:id="rId7"/>
    <sheet name="AÇÕES - Meu Portfólio" sheetId="4" r:id="rId8"/>
    <sheet name="AÇÕES - Tabela 3" sheetId="5" r:id="rId9"/>
    <sheet name="AÇÕES - Comparação de FII" sheetId="6" r:id="rId10"/>
    <sheet name="AÇÕES - Desenhos" sheetId="7" r:id="rId11"/>
    <sheet name="ETF BRASIL - Visão Geral" sheetId="8" r:id="rId12"/>
    <sheet name="ETF BRASIL - REFERENCIAL" sheetId="9" r:id="rId13"/>
    <sheet name="ETF BRASIL - Meu Portfólio" sheetId="10" r:id="rId14"/>
    <sheet name="ETF BRASIL - Tabela 3" sheetId="11" r:id="rId15"/>
    <sheet name="ETF BRASIL - Desenhos" sheetId="12" r:id="rId16"/>
    <sheet name="ETF USA - Visão Geral" sheetId="13" r:id="rId17"/>
    <sheet name="ETF USA - REFERENCIAL" sheetId="14" r:id="rId18"/>
    <sheet name="ETF USA - Meu Portfólio" sheetId="15" r:id="rId19"/>
    <sheet name="ETF USA - Tabela 1" sheetId="16" r:id="rId20"/>
    <sheet name="ETF USA - Tabela 2" sheetId="17" r:id="rId21"/>
    <sheet name="ETF USA - Tabela 3" sheetId="18" r:id="rId22"/>
    <sheet name="ETF USA - Comparação de FII" sheetId="19" r:id="rId23"/>
    <sheet name="ETF USA - Desenhos" sheetId="20" r:id="rId24"/>
    <sheet name="Fundos Imobiliários - Visão Ger" sheetId="21" r:id="rId25"/>
    <sheet name="Fundos Imobiliários - REFERENCI" sheetId="22" r:id="rId26"/>
    <sheet name="Fundos Imobiliários - Meu Portf" sheetId="23" r:id="rId27"/>
    <sheet name="Fundos Imobiliários - Tabela 1" sheetId="24" r:id="rId28"/>
    <sheet name="Fundos Imobiliários - Tabela 3" sheetId="25" r:id="rId29"/>
    <sheet name="Fundos Imobiliários - Desenhos" sheetId="26" r:id="rId30"/>
    <sheet name="Reit's - Visão Geral" sheetId="27" r:id="rId31"/>
    <sheet name="Reit's - REFERENCIAL" sheetId="28" r:id="rId32"/>
    <sheet name="Reit's - Meu Portfólio" sheetId="29" r:id="rId33"/>
    <sheet name="Reit's - Tabela 1" sheetId="30" r:id="rId34"/>
    <sheet name="Reit's - Tabela 3" sheetId="31" r:id="rId35"/>
    <sheet name="Reit's - Desenhos" sheetId="32" r:id="rId36"/>
    <sheet name="STOCKS - Visão Geral" sheetId="33" r:id="rId37"/>
    <sheet name="STOCKS - REFERENCIAL" sheetId="34" r:id="rId38"/>
    <sheet name="STOCKS - Meu Portfólio" sheetId="35" r:id="rId39"/>
    <sheet name="STOCKS - Tabela 1" sheetId="36" r:id="rId40"/>
    <sheet name="STOCKS - Tabela 3" sheetId="37" r:id="rId41"/>
    <sheet name="STOCKS - Desenhos" sheetId="38" r:id="rId42"/>
    <sheet name="CDB - Visão Geral" sheetId="39" r:id="rId43"/>
    <sheet name="CDB - REFERENCIAL" sheetId="40" r:id="rId44"/>
    <sheet name="CDB - Meu Portfólio" sheetId="41" r:id="rId45"/>
    <sheet name="CDB - Meu Portfólio-1" sheetId="42" r:id="rId46"/>
    <sheet name="CDB - Feriados" sheetId="43" r:id="rId47"/>
    <sheet name="CDB - Tabela 3" sheetId="44" r:id="rId48"/>
    <sheet name="CDB - Tabela 1" sheetId="45" r:id="rId49"/>
    <sheet name="CDB - Desenhos" sheetId="46" r:id="rId50"/>
    <sheet name="CRI_CRA - Visão Geral" sheetId="47" r:id="rId51"/>
    <sheet name="CRI_CRA - REFERENCIAL" sheetId="48" r:id="rId52"/>
    <sheet name="CRI_CRA - Meu Portfólio" sheetId="49" r:id="rId53"/>
    <sheet name="CRI_CRA - Meu Portfólio-1" sheetId="50" r:id="rId54"/>
    <sheet name="CRI_CRA - Feriado" sheetId="51" r:id="rId55"/>
    <sheet name="CRI_CRA - Tabela 1" sheetId="52" r:id="rId56"/>
    <sheet name="CRI_CRA - Tabela 3" sheetId="53" r:id="rId57"/>
    <sheet name="CRI_CRA - Desenhos" sheetId="54" r:id="rId58"/>
    <sheet name="FUNDOS - Visão Geral" sheetId="55" r:id="rId59"/>
    <sheet name="FUNDOS - REFERENCIAL" sheetId="56" r:id="rId60"/>
    <sheet name="FUNDOS - Meu Portfólio" sheetId="57" r:id="rId61"/>
    <sheet name="FUNDOS - Tabela 1" sheetId="58" r:id="rId62"/>
    <sheet name="FUNDOS - Tabela 3" sheetId="59" r:id="rId63"/>
    <sheet name="FUNDOS - Desenhos" sheetId="60" r:id="rId64"/>
    <sheet name="LCI_LCA - Visão Geral" sheetId="61" r:id="rId65"/>
    <sheet name="LCI_LCA - REFERENCIAL" sheetId="62" r:id="rId66"/>
    <sheet name="LCI_LCA - Meu Portfólio" sheetId="63" r:id="rId67"/>
    <sheet name="LCI_LCA - Tabela 1" sheetId="64" r:id="rId68"/>
    <sheet name="LCI_LCA - Tabela 3" sheetId="65" r:id="rId69"/>
    <sheet name="LCI_LCA - Desenhos" sheetId="66" r:id="rId70"/>
    <sheet name="Tesouro Direto - TESOURO IPCA +" sheetId="67" r:id="rId71"/>
    <sheet name="Tesouro Direto - TESOURO IPCA 1" sheetId="68" r:id="rId72"/>
    <sheet name="Tesouro Direto - NTN-B Principa" sheetId="69" r:id="rId73"/>
    <sheet name="Tesouro Direto - NTN-B Princip1" sheetId="70" r:id="rId74"/>
    <sheet name="Tesouro Direto - IPCA + 2050" sheetId="71" r:id="rId75"/>
    <sheet name="Tesouro Direto - Meu Portfólio-" sheetId="72" r:id="rId76"/>
    <sheet name="Consolidação - Variação Mensal " sheetId="73" r:id="rId77"/>
    <sheet name="Consolidação - AÇÕES" sheetId="74" r:id="rId78"/>
    <sheet name="Consolidação - Projeção Anual 2" sheetId="75" r:id="rId79"/>
    <sheet name="Consolidação - ETF - BRASIL" sheetId="76" r:id="rId80"/>
    <sheet name="Consolidação - ETF - USA" sheetId="77" r:id="rId81"/>
    <sheet name="Consolidação - FUNDOS IMOBILIÁR" sheetId="78" r:id="rId82"/>
    <sheet name="Consolidação - REIT’S" sheetId="79" r:id="rId83"/>
    <sheet name="Consolidação - STOCKS" sheetId="80" r:id="rId84"/>
    <sheet name="Consolidação - CDB" sheetId="81" r:id="rId85"/>
    <sheet name="Consolidação - CRI_CRA" sheetId="82" r:id="rId86"/>
    <sheet name="Consolidação - FUNDOS" sheetId="83" r:id="rId87"/>
    <sheet name="Consolidação - LCI_LCA" sheetId="84" r:id="rId88"/>
    <sheet name="Consolidação - TESOURO DIRETO" sheetId="85" r:id="rId89"/>
    <sheet name="Consolidação - Desenhos" sheetId="86" r:id="rId90"/>
  </sheets>
</workbook>
</file>

<file path=xl/comments1.xml><?xml version="1.0" encoding="utf-8"?>
<comments xmlns="http://schemas.openxmlformats.org/spreadsheetml/2006/main">
  <authors>
    <author>Leandro Nascimento</author>
  </authors>
  <commentList>
    <comment ref="F2" authorId="0">
      <text>
        <r>
          <rPr>
            <sz val="11"/>
            <color indexed="8"/>
            <rFont val="Avenir Next Regular"/>
          </rPr>
          <t>Leandro Nascimento:
Diferença entre a cotação atual e o preço pago na compra.</t>
        </r>
      </text>
    </comment>
    <comment ref="T2" authorId="0">
      <text>
        <r>
          <rPr>
            <sz val="11"/>
            <color indexed="8"/>
            <rFont val="Avenir Next Regular"/>
          </rPr>
          <t>Leandro Nascimento:
Quantidade de cotas para que o valor pago em dividendos seja suficiente para se adquirir uma nova cota.</t>
        </r>
      </text>
    </comment>
    <comment ref="V2" authorId="0">
      <text>
        <r>
          <rPr>
            <sz val="11"/>
            <color indexed="8"/>
            <rFont val="Avenir Next Regular"/>
          </rPr>
          <t>Leandro Nascimento:
Com os dividendos pagos eu consigo recomprar tantas cotas da mesma ação.</t>
        </r>
      </text>
    </comment>
    <comment ref="R4" authorId="0">
      <text>
        <r>
          <rPr>
            <sz val="11"/>
            <color indexed="8"/>
            <rFont val="Avenir Next Regular"/>
          </rPr>
          <t>Leandro Nascimento:
BBSE3 tem a política de pagamento de dividendos semestrais, ou seja, duas vezes ao ano. Isso é apenas uma expectativa que pode ou não se concretiza, assim como a proporção dos valores. Ou seja, o papel pode pagar um valor de 70% do dividendo no primeiro semestre e os outros 30% no segundo semestre, isso é discricionário da empresa. Não dá pra cravar que receberemos R$ 2,60 em cada semestre.</t>
        </r>
      </text>
    </comment>
  </commentList>
</comments>
</file>

<file path=xl/comments2.xml><?xml version="1.0" encoding="utf-8"?>
<comments xmlns="http://schemas.openxmlformats.org/spreadsheetml/2006/main">
  <authors>
    <author>Leandro Nascimento</author>
  </authors>
  <commentList>
    <comment ref="F2" authorId="0">
      <text>
        <r>
          <rPr>
            <sz val="11"/>
            <color indexed="8"/>
            <rFont val="Avenir Next Regular"/>
          </rPr>
          <t>Leandro Nascimento:
Diferença entre a cotação atual e o preço pago na compra.</t>
        </r>
      </text>
    </comment>
    <comment ref="T2" authorId="0">
      <text>
        <r>
          <rPr>
            <sz val="11"/>
            <color indexed="8"/>
            <rFont val="Avenir Next Regular"/>
          </rPr>
          <t>Leandro Nascimento:
Quantidade de cotas para que o valor pago em dividendos seja suficiente para se adquirir uma nova cota.</t>
        </r>
      </text>
    </comment>
    <comment ref="U2" authorId="0">
      <text>
        <r>
          <rPr>
            <sz val="11"/>
            <color indexed="8"/>
            <rFont val="Avenir Next Regular"/>
          </rPr>
          <t>Leandro Nascimento:
QTD de cotas q faltam para alcançar o Magic Number</t>
        </r>
      </text>
    </comment>
    <comment ref="V2" authorId="0">
      <text>
        <r>
          <rPr>
            <sz val="11"/>
            <color indexed="8"/>
            <rFont val="Avenir Next Regular"/>
          </rPr>
          <t>Leandro Nascimento:
Com os dividendos pagos eu consigo recomprar tantas cotas da mesma ação.</t>
        </r>
      </text>
    </comment>
  </commentList>
</comments>
</file>

<file path=xl/comments3.xml><?xml version="1.0" encoding="utf-8"?>
<comments xmlns="http://schemas.openxmlformats.org/spreadsheetml/2006/main">
  <authors>
    <author>Leandro Nascimento</author>
  </authors>
  <commentList>
    <comment ref="S2" authorId="0">
      <text>
        <r>
          <rPr>
            <sz val="11"/>
            <color indexed="8"/>
            <rFont val="Avenir Next Regular"/>
          </rPr>
          <t>Leandro Nascimento:
Quantidade de cotas para que o valor pago em dividendos seja suficiente para se adquirir uma nova cota.</t>
        </r>
      </text>
    </comment>
    <comment ref="T2" authorId="0">
      <text>
        <r>
          <rPr>
            <sz val="11"/>
            <color indexed="8"/>
            <rFont val="Avenir Next Regular"/>
          </rPr>
          <t>Leandro Nascimento:
QTD de cotas q faltam para alcançar o Magic Number</t>
        </r>
      </text>
    </comment>
    <comment ref="U2" authorId="0">
      <text>
        <r>
          <rPr>
            <sz val="11"/>
            <color indexed="8"/>
            <rFont val="Avenir Next Regular"/>
          </rPr>
          <t>Leandro Nascimento:
Com os dividendos pagos eu consigo recomprar tantas cotas da mesma ação.</t>
        </r>
      </text>
    </comment>
  </commentList>
</comments>
</file>

<file path=xl/comments4.xml><?xml version="1.0" encoding="utf-8"?>
<comments xmlns="http://schemas.openxmlformats.org/spreadsheetml/2006/main">
  <authors>
    <author>Leandro Nascimento</author>
  </authors>
  <commentList>
    <comment ref="G23" authorId="0">
      <text>
        <r>
          <rPr>
            <sz val="11"/>
            <color indexed="8"/>
            <rFont val="Avenir Next Regular"/>
          </rPr>
          <t>Leandro Nascimento:
Compramos com um rendimento de 15% a.a, no dia 06JAN2025.</t>
        </r>
      </text>
    </comment>
  </commentList>
</comments>
</file>

<file path=xl/comments5.xml><?xml version="1.0" encoding="utf-8"?>
<comments xmlns="http://schemas.openxmlformats.org/spreadsheetml/2006/main">
  <authors>
    <author>Leandro Nascimento</author>
  </authors>
  <commentList>
    <comment ref="R2" authorId="0">
      <text>
        <r>
          <rPr>
            <sz val="11"/>
            <color indexed="8"/>
            <rFont val="Avenir Next Regular"/>
          </rPr>
          <t xml:space="preserve">Leandro Nascimento:
Os Fundos imobiliários têm a política de pagamento de dividendos mensais, ou seja, doze vezes ao ano. </t>
        </r>
      </text>
    </comment>
    <comment ref="U2" authorId="0">
      <text>
        <r>
          <rPr>
            <sz val="11"/>
            <color indexed="8"/>
            <rFont val="Avenir Next Regular"/>
          </rPr>
          <t>Leandro Nascimento:
Quantidade de cotas para que o valor pago em dividendos seja suficiente para se adquirir uma nova cota.</t>
        </r>
      </text>
    </comment>
    <comment ref="V2" authorId="0">
      <text>
        <r>
          <rPr>
            <sz val="11"/>
            <color indexed="8"/>
            <rFont val="Avenir Next Regular"/>
          </rPr>
          <t>Leandro Nascimento:
QTD de cotas q faltam para alcançar o Magic Number</t>
        </r>
      </text>
    </comment>
    <comment ref="W2" authorId="0">
      <text>
        <r>
          <rPr>
            <sz val="11"/>
            <color indexed="8"/>
            <rFont val="Avenir Next Regular"/>
          </rPr>
          <t>Leandro Nascimento:
Com os dividendos pagos eu consigo recomprar tantas cotas da mesma ação.</t>
        </r>
      </text>
    </comment>
  </commentList>
</comments>
</file>

<file path=xl/comments6.xml><?xml version="1.0" encoding="utf-8"?>
<comments xmlns="http://schemas.openxmlformats.org/spreadsheetml/2006/main">
  <authors>
    <author>Leandro Nascimento</author>
  </authors>
  <commentList>
    <comment ref="R2" authorId="0">
      <text>
        <r>
          <rPr>
            <sz val="11"/>
            <color indexed="8"/>
            <rFont val="Avenir Next Regular"/>
          </rPr>
          <t xml:space="preserve">Leandro Nascimento:
Os REIT’s tem políticas de pagamento de dividendo variadas, podendo ser semestrais, trimestrais ou mensais. </t>
        </r>
      </text>
    </comment>
    <comment ref="U2" authorId="0">
      <text>
        <r>
          <rPr>
            <sz val="11"/>
            <color indexed="8"/>
            <rFont val="Avenir Next Regular"/>
          </rPr>
          <t>Leandro Nascimento:
Quantidade de cotas para que o valor pago em dividendos seja suficiente para se adquirir uma nova cota.</t>
        </r>
      </text>
    </comment>
    <comment ref="V2" authorId="0">
      <text>
        <r>
          <rPr>
            <sz val="11"/>
            <color indexed="8"/>
            <rFont val="Avenir Next Regular"/>
          </rPr>
          <t>Leandro Nascimento:
QTD de cotas q faltam para alcançar o Magic Number</t>
        </r>
      </text>
    </comment>
    <comment ref="W2" authorId="0">
      <text>
        <r>
          <rPr>
            <sz val="11"/>
            <color indexed="8"/>
            <rFont val="Avenir Next Regular"/>
          </rPr>
          <t>Leandro Nascimento:
Com os dividendos pagos eu consigo recomprar tantas cotas da mesma ação.</t>
        </r>
      </text>
    </comment>
    <comment ref="R3" authorId="0">
      <text>
        <r>
          <rPr>
            <sz val="11"/>
            <color indexed="8"/>
            <rFont val="Avenir Next Regular"/>
          </rPr>
          <t>Leandro Nascimento:
Historicamente paga dividendos trimestralmente.</t>
        </r>
      </text>
    </comment>
    <comment ref="R4" authorId="0">
      <text>
        <r>
          <rPr>
            <sz val="11"/>
            <color indexed="8"/>
            <rFont val="Avenir Next Regular"/>
          </rPr>
          <t>Leandro Nascimento:
Pagamento realizado de forma trimestral</t>
        </r>
      </text>
    </comment>
    <comment ref="R5" authorId="0">
      <text>
        <r>
          <rPr>
            <sz val="11"/>
            <color indexed="8"/>
            <rFont val="Avenir Next Regular"/>
          </rPr>
          <t>Leandro Nascimento:
Pagamento feito de forma trimestral</t>
        </r>
      </text>
    </comment>
  </commentList>
</comments>
</file>

<file path=xl/comments7.xml><?xml version="1.0" encoding="utf-8"?>
<comments xmlns="http://schemas.openxmlformats.org/spreadsheetml/2006/main">
  <authors>
    <author>Leandro Nascimento</author>
  </authors>
  <commentList>
    <comment ref="Q2" authorId="0">
      <text>
        <r>
          <rPr>
            <sz val="11"/>
            <color indexed="8"/>
            <rFont val="Avenir Next Regular"/>
          </rPr>
          <t xml:space="preserve">Leandro Nascimento:
A RACE paga dividendos de forma anualizada.
</t>
        </r>
      </text>
    </comment>
    <comment ref="S2" authorId="0">
      <text>
        <r>
          <rPr>
            <sz val="11"/>
            <color indexed="8"/>
            <rFont val="Avenir Next Regular"/>
          </rPr>
          <t>Leandro Nascimento:
Quantidade de cotas para que o valor pago em dividendos seja suficiente para se adquirir uma nova cota.</t>
        </r>
      </text>
    </comment>
    <comment ref="T2" authorId="0">
      <text>
        <r>
          <rPr>
            <sz val="11"/>
            <color indexed="8"/>
            <rFont val="Avenir Next Regular"/>
          </rPr>
          <t>Leandro Nascimento:
QTD de cotas q faltam para alcançar o Magic Number</t>
        </r>
      </text>
    </comment>
    <comment ref="U2" authorId="0">
      <text>
        <r>
          <rPr>
            <sz val="11"/>
            <color indexed="8"/>
            <rFont val="Avenir Next Regular"/>
          </rPr>
          <t>Leandro Nascimento:
Com os dividendos pagos eu consigo recomprar tantas cotas da mesma ação.</t>
        </r>
      </text>
    </comment>
  </commentList>
</comments>
</file>

<file path=xl/comments8.xml><?xml version="1.0" encoding="utf-8"?>
<comments xmlns="http://schemas.openxmlformats.org/spreadsheetml/2006/main">
  <authors>
    <author>Leandro Nascimento</author>
  </authors>
  <commentList>
    <comment ref="V2" authorId="0">
      <text>
        <r>
          <rPr>
            <sz val="11"/>
            <color indexed="8"/>
            <rFont val="Avenir Next Regular"/>
          </rPr>
          <t>Leandro Nascimento:
Valor igual a 0% significa que o investimento está retornando exatamente o que o CDI Promete. esse CDB está entregando exatamente o CDI. Ele está correto, mas não gera ganho real acima do mercado.</t>
        </r>
      </text>
    </comment>
  </commentList>
</comments>
</file>

<file path=xl/comments9.xml><?xml version="1.0" encoding="utf-8"?>
<comments xmlns="http://schemas.openxmlformats.org/spreadsheetml/2006/main">
  <authors>
    <author>Leandro Nascimento</author>
  </authors>
  <commentList>
    <comment ref="I1" authorId="0">
      <text>
        <r>
          <rPr>
            <sz val="11"/>
            <color indexed="8"/>
            <rFont val="Avenir Next Regular"/>
          </rPr>
          <t>Leandro Nascimento:
Fator base</t>
        </r>
      </text>
    </comment>
    <comment ref="F2" authorId="0">
      <text>
        <r>
          <rPr>
            <sz val="11"/>
            <color indexed="8"/>
            <rFont val="Avenir Next Regular"/>
          </rPr>
          <t>Leandro Nascimento:
É um pré fixado a 14,10%</t>
        </r>
      </text>
    </comment>
  </commentList>
</comments>
</file>

<file path=xl/comments10.xml><?xml version="1.0" encoding="utf-8"?>
<comments xmlns="http://schemas.openxmlformats.org/spreadsheetml/2006/main">
  <authors>
    <author>Leandro Nascimento</author>
  </authors>
  <commentList>
    <comment ref="F3" authorId="0">
      <text>
        <r>
          <rPr>
            <sz val="11"/>
            <color indexed="8"/>
            <rFont val="Avenir Next Regular"/>
          </rPr>
          <t>Leandro Nascimento:
Rentabilidade a ser recebida se o título for mantido até o vencimento</t>
        </r>
      </text>
    </comment>
    <comment ref="I4" authorId="0">
      <text>
        <r>
          <rPr>
            <sz val="11"/>
            <color indexed="8"/>
            <rFont val="Avenir Next Regular"/>
          </rPr>
          <t>Leandro Nascimento:
Valor de venda levando em consideração o PU de hoje. O PU deve ser atualizado por ocasião de prestação de conta com o cliente.</t>
        </r>
      </text>
    </comment>
    <comment ref="J4" authorId="0">
      <text>
        <r>
          <rPr>
            <sz val="11"/>
            <color indexed="8"/>
            <rFont val="Avenir Next Regular"/>
          </rPr>
          <t>Leandro Nascimento:
Dias corridos, contados a partir da data de liquidação do seu investimento</t>
        </r>
      </text>
    </comment>
    <comment ref="P4" authorId="0">
      <text>
        <r>
          <rPr>
            <sz val="11"/>
            <color indexed="8"/>
            <rFont val="Avenir Next Regular"/>
          </rPr>
          <t>Leandro Nascimento:
Valor para resgate antecipado, ou seja, antes do vencimento do título</t>
        </r>
      </text>
    </comment>
    <comment ref="G5" authorId="0">
      <text>
        <r>
          <rPr>
            <sz val="11"/>
            <color indexed="8"/>
            <rFont val="Avenir Next Regular"/>
          </rPr>
          <t>Leandro Nascimento:
Taxa equivalente a um ano</t>
        </r>
      </text>
    </comment>
    <comment ref="H5" authorId="0">
      <text>
        <r>
          <rPr>
            <sz val="11"/>
            <color indexed="8"/>
            <rFont val="Avenir Next Regular"/>
          </rPr>
          <t>Leandro Nascimento:
Da aplicação até hoje</t>
        </r>
      </text>
    </comment>
    <comment ref="L5" authorId="0">
      <text>
        <r>
          <rPr>
            <sz val="11"/>
            <color indexed="8"/>
            <rFont val="Avenir Next Regular"/>
          </rPr>
          <t>Leandro Nascimento:
Imposto de renda</t>
        </r>
      </text>
    </comment>
    <comment ref="M5" authorId="0">
      <text>
        <r>
          <rPr>
            <sz val="11"/>
            <color indexed="8"/>
            <rFont val="Avenir Next Regular"/>
          </rPr>
          <t>Leandro Nascimento:
Imposto sobre operações de crédito, câmbio e seguro, ou relativo a títulos imobiliários</t>
        </r>
      </text>
    </comment>
  </commentList>
</comments>
</file>

<file path=xl/comments11.xml><?xml version="1.0" encoding="utf-8"?>
<comments xmlns="http://schemas.openxmlformats.org/spreadsheetml/2006/main">
  <authors>
    <author>Leandro Nascimento</author>
  </authors>
  <commentList>
    <comment ref="F3" authorId="0">
      <text>
        <r>
          <rPr>
            <sz val="11"/>
            <color indexed="8"/>
            <rFont val="Avenir Next Regular"/>
          </rPr>
          <t>Leandro Nascimento:
Rentabilidade a ser recebida se o título for mantido até o vencimento</t>
        </r>
      </text>
    </comment>
    <comment ref="I4" authorId="0">
      <text>
        <r>
          <rPr>
            <sz val="11"/>
            <color indexed="8"/>
            <rFont val="Avenir Next Regular"/>
          </rPr>
          <t>Leandro Nascimento:
Valor de venda levando em consideração o PU de hoje. O PU deve ser atualizado por ocasião de prestação de conta com o cliente.</t>
        </r>
      </text>
    </comment>
    <comment ref="J4" authorId="0">
      <text>
        <r>
          <rPr>
            <sz val="11"/>
            <color indexed="8"/>
            <rFont val="Avenir Next Regular"/>
          </rPr>
          <t>Leandro Nascimento:
Dias corridos, contados a partir da data de liquidação do seu investimento</t>
        </r>
      </text>
    </comment>
    <comment ref="P4" authorId="0">
      <text>
        <r>
          <rPr>
            <sz val="11"/>
            <color indexed="8"/>
            <rFont val="Avenir Next Regular"/>
          </rPr>
          <t>Leandro Nascimento:
Valor para resgate antecipado, ou seja, antes do vencimento do título</t>
        </r>
      </text>
    </comment>
    <comment ref="G5" authorId="0">
      <text>
        <r>
          <rPr>
            <sz val="11"/>
            <color indexed="8"/>
            <rFont val="Avenir Next Regular"/>
          </rPr>
          <t>Leandro Nascimento:
Taxa equivalente a um ano</t>
        </r>
      </text>
    </comment>
    <comment ref="H5" authorId="0">
      <text>
        <r>
          <rPr>
            <sz val="11"/>
            <color indexed="8"/>
            <rFont val="Avenir Next Regular"/>
          </rPr>
          <t>Leandro Nascimento:
Da aplicação até hoje</t>
        </r>
      </text>
    </comment>
    <comment ref="L5" authorId="0">
      <text>
        <r>
          <rPr>
            <sz val="11"/>
            <color indexed="8"/>
            <rFont val="Avenir Next Regular"/>
          </rPr>
          <t>Leandro Nascimento:
Imposto de renda</t>
        </r>
      </text>
    </comment>
    <comment ref="M5" authorId="0">
      <text>
        <r>
          <rPr>
            <sz val="11"/>
            <color indexed="8"/>
            <rFont val="Avenir Next Regular"/>
          </rPr>
          <t>Leandro Nascimento:
Imposto sobre operações de crédito, câmbio e seguro, ou relativo a títulos imobiliários</t>
        </r>
      </text>
    </comment>
  </commentList>
</comments>
</file>

<file path=xl/comments12.xml><?xml version="1.0" encoding="utf-8"?>
<comments xmlns="http://schemas.openxmlformats.org/spreadsheetml/2006/main">
  <authors>
    <author>Leandro Nascimento</author>
  </authors>
  <commentList>
    <comment ref="F3" authorId="0">
      <text>
        <r>
          <rPr>
            <sz val="11"/>
            <color indexed="8"/>
            <rFont val="Avenir Next Regular"/>
          </rPr>
          <t>Leandro Nascimento:
Rentabilidade a ser recebida se o título for mantido até o vencimento</t>
        </r>
      </text>
    </comment>
    <comment ref="I4" authorId="0">
      <text>
        <r>
          <rPr>
            <sz val="11"/>
            <color indexed="8"/>
            <rFont val="Avenir Next Regular"/>
          </rPr>
          <t>Leandro Nascimento:
Valor de venda levando em consideração o PU de hoje. O PU deve ser atualizado por ocasião de prestação de conta com o cliente.</t>
        </r>
      </text>
    </comment>
    <comment ref="J4" authorId="0">
      <text>
        <r>
          <rPr>
            <sz val="11"/>
            <color indexed="8"/>
            <rFont val="Avenir Next Regular"/>
          </rPr>
          <t>Leandro Nascimento:
Dias corridos, contados a partir da data de liquidação do seu investimento</t>
        </r>
      </text>
    </comment>
    <comment ref="P4" authorId="0">
      <text>
        <r>
          <rPr>
            <sz val="11"/>
            <color indexed="8"/>
            <rFont val="Avenir Next Regular"/>
          </rPr>
          <t>Leandro Nascimento:
Valor para resgate antecipado, ou seja, antes do vencimento do título</t>
        </r>
      </text>
    </comment>
    <comment ref="G5" authorId="0">
      <text>
        <r>
          <rPr>
            <sz val="11"/>
            <color indexed="8"/>
            <rFont val="Avenir Next Regular"/>
          </rPr>
          <t>Leandro Nascimento:
Taxa equivalente a um ano</t>
        </r>
      </text>
    </comment>
    <comment ref="H5" authorId="0">
      <text>
        <r>
          <rPr>
            <sz val="11"/>
            <color indexed="8"/>
            <rFont val="Avenir Next Regular"/>
          </rPr>
          <t>Leandro Nascimento:
Da aplicação até hoje</t>
        </r>
      </text>
    </comment>
    <comment ref="L5" authorId="0">
      <text>
        <r>
          <rPr>
            <sz val="11"/>
            <color indexed="8"/>
            <rFont val="Avenir Next Regular"/>
          </rPr>
          <t>Leandro Nascimento:
Imposto de renda</t>
        </r>
      </text>
    </comment>
    <comment ref="M5" authorId="0">
      <text>
        <r>
          <rPr>
            <sz val="11"/>
            <color indexed="8"/>
            <rFont val="Avenir Next Regular"/>
          </rPr>
          <t>Leandro Nascimento:
Imposto sobre operações de crédito, câmbio e seguro, ou relativo a títulos imobiliários</t>
        </r>
      </text>
    </comment>
    <comment ref="B9" authorId="0">
      <text>
        <r>
          <rPr>
            <sz val="11"/>
            <color indexed="8"/>
            <rFont val="Avenir Next Regular"/>
          </rPr>
          <t>Leandro Nascimento:
Tem que consultar o PU que a XP está praticando pq esse título não tem no TD, somente no mercado secundário praticado pela XP.</t>
        </r>
      </text>
    </comment>
  </commentList>
</comments>
</file>

<file path=xl/comments13.xml><?xml version="1.0" encoding="utf-8"?>
<comments xmlns="http://schemas.openxmlformats.org/spreadsheetml/2006/main">
  <authors>
    <author>Leandro Nascimento</author>
  </authors>
  <commentList>
    <comment ref="F3" authorId="0">
      <text>
        <r>
          <rPr>
            <sz val="11"/>
            <color indexed="8"/>
            <rFont val="Avenir Next Regular"/>
          </rPr>
          <t>Leandro Nascimento:
Rentabilidade a ser recebida se o título for mantido até o vencimento</t>
        </r>
      </text>
    </comment>
    <comment ref="I4" authorId="0">
      <text>
        <r>
          <rPr>
            <sz val="11"/>
            <color indexed="8"/>
            <rFont val="Avenir Next Regular"/>
          </rPr>
          <t>Leandro Nascimento:
Valor de venda levando em consideração o PU de hoje. O PU deve ser atualizado por ocasião de prestação de conta com o cliente.</t>
        </r>
      </text>
    </comment>
    <comment ref="J4" authorId="0">
      <text>
        <r>
          <rPr>
            <sz val="11"/>
            <color indexed="8"/>
            <rFont val="Avenir Next Regular"/>
          </rPr>
          <t>Leandro Nascimento:
Dias corridos, contados a partir da data de liquidação do seu investimento</t>
        </r>
      </text>
    </comment>
    <comment ref="P4" authorId="0">
      <text>
        <r>
          <rPr>
            <sz val="11"/>
            <color indexed="8"/>
            <rFont val="Avenir Next Regular"/>
          </rPr>
          <t>Leandro Nascimento:
Valor para resgate antecipado, ou seja, antes do vencimento do título</t>
        </r>
      </text>
    </comment>
    <comment ref="G5" authorId="0">
      <text>
        <r>
          <rPr>
            <sz val="11"/>
            <color indexed="8"/>
            <rFont val="Avenir Next Regular"/>
          </rPr>
          <t>Leandro Nascimento:
Taxa equivalente a um ano</t>
        </r>
      </text>
    </comment>
    <comment ref="H5" authorId="0">
      <text>
        <r>
          <rPr>
            <sz val="11"/>
            <color indexed="8"/>
            <rFont val="Avenir Next Regular"/>
          </rPr>
          <t>Leandro Nascimento:
Da aplicação até hoje</t>
        </r>
      </text>
    </comment>
    <comment ref="L5" authorId="0">
      <text>
        <r>
          <rPr>
            <sz val="11"/>
            <color indexed="8"/>
            <rFont val="Avenir Next Regular"/>
          </rPr>
          <t>Leandro Nascimento:
Imposto de renda</t>
        </r>
      </text>
    </comment>
    <comment ref="M5" authorId="0">
      <text>
        <r>
          <rPr>
            <sz val="11"/>
            <color indexed="8"/>
            <rFont val="Avenir Next Regular"/>
          </rPr>
          <t>Leandro Nascimento:
Imposto sobre operações de crédito, câmbio e seguro, ou relativo a títulos imobiliários</t>
        </r>
      </text>
    </comment>
    <comment ref="B9" authorId="0">
      <text>
        <r>
          <rPr>
            <sz val="11"/>
            <color indexed="8"/>
            <rFont val="Avenir Next Regular"/>
          </rPr>
          <t>Leandro Nascimento:
Tem que consultar o PU que o Tesouro está praticando no dia da consulta</t>
        </r>
      </text>
    </comment>
  </commentList>
</comments>
</file>

<file path=xl/comments14.xml><?xml version="1.0" encoding="utf-8"?>
<comments xmlns="http://schemas.openxmlformats.org/spreadsheetml/2006/main">
  <authors>
    <author>Leandro Nascimento</author>
  </authors>
  <commentList>
    <comment ref="F3" authorId="0">
      <text>
        <r>
          <rPr>
            <sz val="11"/>
            <color indexed="8"/>
            <rFont val="Avenir Next Regular"/>
          </rPr>
          <t>Leandro Nascimento:
Rentabilidade a ser recebida se o título for mantido até o vencimento</t>
        </r>
      </text>
    </comment>
    <comment ref="J4" authorId="0">
      <text>
        <r>
          <rPr>
            <sz val="11"/>
            <color indexed="8"/>
            <rFont val="Avenir Next Regular"/>
          </rPr>
          <t>Leandro Nascimento:
Dias corridos, contados a partir da data de liquidação do seu investimento</t>
        </r>
      </text>
    </comment>
    <comment ref="P4" authorId="0">
      <text>
        <r>
          <rPr>
            <sz val="11"/>
            <color indexed="8"/>
            <rFont val="Avenir Next Regular"/>
          </rPr>
          <t>Leandro Nascimento:
Valor para resgate antecipado, ou seja, antes do vencimento do título</t>
        </r>
      </text>
    </comment>
    <comment ref="G5" authorId="0">
      <text>
        <r>
          <rPr>
            <sz val="11"/>
            <color indexed="8"/>
            <rFont val="Avenir Next Regular"/>
          </rPr>
          <t>Leandro Nascimento:
Taxa equivalente a um ano</t>
        </r>
      </text>
    </comment>
    <comment ref="H5" authorId="0">
      <text>
        <r>
          <rPr>
            <sz val="11"/>
            <color indexed="8"/>
            <rFont val="Avenir Next Regular"/>
          </rPr>
          <t>Leandro Nascimento:
Da aplicação até hoje</t>
        </r>
      </text>
    </comment>
    <comment ref="L5" authorId="0">
      <text>
        <r>
          <rPr>
            <sz val="11"/>
            <color indexed="8"/>
            <rFont val="Avenir Next Regular"/>
          </rPr>
          <t>Leandro Nascimento:
Imposto de renda</t>
        </r>
      </text>
    </comment>
    <comment ref="M5" authorId="0">
      <text>
        <r>
          <rPr>
            <sz val="11"/>
            <color indexed="8"/>
            <rFont val="Avenir Next Regular"/>
          </rPr>
          <t>Leandro Nascimento:
Imposto sobre operações de crédito, câmbio e seguro, ou relativo a títulos imobiliários</t>
        </r>
      </text>
    </comment>
    <comment ref="B8" authorId="0">
      <text>
        <r>
          <rPr>
            <sz val="11"/>
            <color indexed="8"/>
            <rFont val="Avenir Next Regular"/>
          </rPr>
          <t>Leandro Nascimento:
Tem que consultar o PU que o Tesouro está praticando no dia da consulta</t>
        </r>
      </text>
    </comment>
  </commentList>
</comments>
</file>

<file path=xl/comments15.xml><?xml version="1.0" encoding="utf-8"?>
<comments xmlns="http://schemas.openxmlformats.org/spreadsheetml/2006/main">
  <authors>
    <author>Leandro Nascimento</author>
  </authors>
  <commentList>
    <comment ref="B3" authorId="0">
      <text>
        <r>
          <rPr>
            <sz val="11"/>
            <color indexed="8"/>
            <rFont val="Avenir Next Regular"/>
          </rPr>
          <t>Leandro Nascimento:
31/12/2024</t>
        </r>
      </text>
    </comment>
  </commentList>
</comments>
</file>

<file path=xl/comments16.xml><?xml version="1.0" encoding="utf-8"?>
<comments xmlns="http://schemas.openxmlformats.org/spreadsheetml/2006/main">
  <authors>
    <author>Leandro Nascimento</author>
  </authors>
  <commentList>
    <comment ref="D5" authorId="0">
      <text>
        <r>
          <rPr>
            <sz val="11"/>
            <color indexed="8"/>
            <rFont val="Avenir Next Regular"/>
          </rPr>
          <t>Leandro Nascimento:
Valor incorreto. Para termos o valor correto precisamos do PU que a XP está praticando no momento.Então, enquanto os juros não subirem, considere uns R$ 4.000,00 a menos.</t>
        </r>
      </text>
    </comment>
  </commentList>
</comments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<sst xmlns="http://schemas.openxmlformats.org/spreadsheetml/2006/main" uniqueCount="450">
  <si>
    <t>Este documento foi exportado do Numbers. Cada tabela foi convertida em uma folha do Excel. Todos os outros objetos em cada folha do Numbers foram colocados em folhas à parte. Esteja ciente de que os cálculos de fórmulas podem ser diferentes no Excel.</t>
  </si>
  <si>
    <t>Nome da Folha do Numbers</t>
  </si>
  <si>
    <t>Nome da Tabela do Numbers</t>
  </si>
  <si>
    <t>Nome da Planilha do Excel</t>
  </si>
  <si>
    <t>AÇÕES</t>
  </si>
  <si>
    <t>Visão Geral</t>
  </si>
  <si>
    <t>AÇÕES - Visão Geral</t>
  </si>
  <si>
    <t>Valor de Mercado</t>
  </si>
  <si>
    <t>Perda/Ganho</t>
  </si>
  <si>
    <t>↓</t>
  </si>
  <si>
    <t>% Alteração</t>
  </si>
  <si>
    <t>REFERENCIAL</t>
  </si>
  <si>
    <t>AÇÕES - REFERENCIAL</t>
  </si>
  <si>
    <t>CAIU 10% OU MAIS EM RELAÇÃO AO PREÇO PAGO</t>
  </si>
  <si>
    <t>CAIU 20% OU MAIS  EM RELAÇÃO AO PREÇO PAGO</t>
  </si>
  <si>
    <t>SUBIU 10% OU MAIS EM RELAÇÃO AO PREÇO PAGO</t>
  </si>
  <si>
    <t>SUBIU 20% OU MAIS EM RELAÇÃO AO PREÇO PAGO</t>
  </si>
  <si>
    <t>Meu Portfólio</t>
  </si>
  <si>
    <t>AÇÕES - Meu Portfólio</t>
  </si>
  <si>
    <t>Símbolo</t>
  </si>
  <si>
    <t>Nome</t>
  </si>
  <si>
    <t>Setor</t>
  </si>
  <si>
    <t>Preço</t>
  </si>
  <si>
    <t>Preço Pago</t>
  </si>
  <si>
    <t>Alteração de Preço</t>
  </si>
  <si>
    <t>Ações</t>
  </si>
  <si>
    <t>Preço Pago em Dólares Americanos</t>
  </si>
  <si>
    <t>Quanto Paguei</t>
  </si>
  <si>
    <t>Ganho</t>
  </si>
  <si>
    <t>Ganho Anterior</t>
  </si>
  <si>
    <t>% Ganho</t>
  </si>
  <si>
    <t>Data de PG Dividendos 1º SEM</t>
  </si>
  <si>
    <t>Dividendo Anual por ação</t>
  </si>
  <si>
    <t>Expectativa de pagamento de dividendos por período</t>
  </si>
  <si>
    <t>Dividendo recebido</t>
  </si>
  <si>
    <t>Magic Number</t>
  </si>
  <si>
    <t>QTD q falta</t>
  </si>
  <si>
    <t>Com o Dividendo recebido consigo comprar…</t>
  </si>
  <si>
    <t>Min 52 semanas</t>
  </si>
  <si>
    <t>Max 52 semanas</t>
  </si>
  <si>
    <t>MELI34</t>
  </si>
  <si>
    <t>MERCADOLIBREDRN</t>
  </si>
  <si>
    <t>varejo digital (e-commerce)</t>
  </si>
  <si>
    <t>BBSE3</t>
  </si>
  <si>
    <t>BBSEGURIDADEON      NM</t>
  </si>
  <si>
    <t>seguros, previdência privada aberta e capitalização</t>
  </si>
  <si>
    <t>Portfólio</t>
  </si>
  <si>
    <t>Tabela 3</t>
  </si>
  <si>
    <t>AÇÕES - Tabela 3</t>
  </si>
  <si>
    <t>Comparação de FII</t>
  </si>
  <si>
    <t>AÇÕES - Comparação de FII</t>
  </si>
  <si>
    <t>FII’S Atuais</t>
  </si>
  <si>
    <t>FII’s Finclass</t>
  </si>
  <si>
    <t>MALL11</t>
  </si>
  <si>
    <t>VISC11</t>
  </si>
  <si>
    <t>HGBS11</t>
  </si>
  <si>
    <t>PROD11</t>
  </si>
  <si>
    <t>MXRF11</t>
  </si>
  <si>
    <t>XPML11</t>
  </si>
  <si>
    <t>RVBI11</t>
  </si>
  <si>
    <t>BTCI11</t>
  </si>
  <si>
    <t>RBFF11</t>
  </si>
  <si>
    <t>PVBI11</t>
  </si>
  <si>
    <t>GARE11</t>
  </si>
  <si>
    <t>KFOF11</t>
  </si>
  <si>
    <t>BRCR11</t>
  </si>
  <si>
    <t>VILG11</t>
  </si>
  <si>
    <t>CPTS11</t>
  </si>
  <si>
    <t>KNSC11</t>
  </si>
  <si>
    <t>LVBI11</t>
  </si>
  <si>
    <t>JSRE11</t>
  </si>
  <si>
    <t>RBVA11</t>
  </si>
  <si>
    <t>PALT11</t>
  </si>
  <si>
    <t>“Todos os Desenhos da Folha”</t>
  </si>
  <si>
    <t>AÇÕES - Desenhos</t>
  </si>
  <si>
    <t>ETF BRASIL</t>
  </si>
  <si>
    <t>ETF BRASIL - Visão Geral</t>
  </si>
  <si>
    <t>Ganho do Portfólio</t>
  </si>
  <si>
    <t>ETF BRASIL - REFERENCIAL</t>
  </si>
  <si>
    <t>CAIU 20% OU MAIS EM RELAÇÃO AO PREÇO PAGO</t>
  </si>
  <si>
    <t>ETF BRASIL - Meu Portfólio</t>
  </si>
  <si>
    <t>12</t>
  </si>
  <si>
    <t>SETOR</t>
  </si>
  <si>
    <t>QTD Cotas</t>
  </si>
  <si>
    <t>Quanto paguei</t>
  </si>
  <si>
    <t>Data de PG de Dividendos</t>
  </si>
  <si>
    <t>Dividendo anual por ação</t>
  </si>
  <si>
    <t>Dividendo Recebido</t>
  </si>
  <si>
    <t>COIN11</t>
  </si>
  <si>
    <t>ETF BV COIN CI  ER</t>
  </si>
  <si>
    <t>BITCOIN</t>
  </si>
  <si>
    <t>ETF BRASIL - Tabela 3</t>
  </si>
  <si>
    <t>ETF BRASIL - Desenhos</t>
  </si>
  <si>
    <t>ETF USA</t>
  </si>
  <si>
    <t>ETF USA - Visão Geral</t>
  </si>
  <si>
    <t>Alteração</t>
  </si>
  <si>
    <t>↑</t>
  </si>
  <si>
    <t>ETF USA - REFERENCIAL</t>
  </si>
  <si>
    <t>ETF USA - Meu Portfólio</t>
  </si>
  <si>
    <t>Dividendo por ação</t>
  </si>
  <si>
    <t>TLT</t>
  </si>
  <si>
    <t xml:space="preserve">iShares 20+ Year Treasury Bond </t>
  </si>
  <si>
    <t>RENDA FIXA (US TREASURIES)</t>
  </si>
  <si>
    <t>BND</t>
  </si>
  <si>
    <t>Vanguard Total Bond Market ETF</t>
  </si>
  <si>
    <t>RENDA FIXA (AGGREGATE)</t>
  </si>
  <si>
    <t>IUSB</t>
  </si>
  <si>
    <t>iShares Core Universal USD Bond</t>
  </si>
  <si>
    <t>JCPB</t>
  </si>
  <si>
    <t>JPMorgan Core Plus Bond ETF</t>
  </si>
  <si>
    <t>RENDA FIXA (CORE PLUS)</t>
  </si>
  <si>
    <t>IAGG</t>
  </si>
  <si>
    <t>iShares International Aggregate</t>
  </si>
  <si>
    <t>RENDA FIXA (INTERNATIONAL)</t>
  </si>
  <si>
    <t>IBIT</t>
  </si>
  <si>
    <t>iShares Bitcoin Trust ETF</t>
  </si>
  <si>
    <t>-</t>
  </si>
  <si>
    <t>TFLO</t>
  </si>
  <si>
    <t xml:space="preserve">iShares Treasury Floating Rate </t>
  </si>
  <si>
    <t>RENDA FIXA (FLOATING RATE)</t>
  </si>
  <si>
    <t>Tabela 1</t>
  </si>
  <si>
    <t>ETF USA - Tabela 1</t>
  </si>
  <si>
    <t>Tabela 2</t>
  </si>
  <si>
    <t>ETF USA - Tabela 2</t>
  </si>
  <si>
    <t>Vendas 21/10/2024</t>
  </si>
  <si>
    <t>Pagamento do Sigma</t>
  </si>
  <si>
    <t>RETORNO</t>
  </si>
  <si>
    <t>Papel</t>
  </si>
  <si>
    <t>QTD</t>
  </si>
  <si>
    <t>Valor unitário</t>
  </si>
  <si>
    <t>Montante final</t>
  </si>
  <si>
    <t>PREJUÍZO/LUCRO</t>
  </si>
  <si>
    <t>PAPEL</t>
  </si>
  <si>
    <t>DATA DA COMPRA</t>
  </si>
  <si>
    <t>VALOR UNITÁRIO</t>
  </si>
  <si>
    <t>MONTANTE FINAL</t>
  </si>
  <si>
    <t>ITUB3</t>
  </si>
  <si>
    <t>BBAS3</t>
  </si>
  <si>
    <t>SUZB3</t>
  </si>
  <si>
    <t>BRAV3</t>
  </si>
  <si>
    <t>ENGI3</t>
  </si>
  <si>
    <t>STBP3</t>
  </si>
  <si>
    <t>STBP3F</t>
  </si>
  <si>
    <t>GGBR3F</t>
  </si>
  <si>
    <t>KEPL3</t>
  </si>
  <si>
    <t>PORD11</t>
  </si>
  <si>
    <t>Prefixado 2031</t>
  </si>
  <si>
    <t>SELIC 2029</t>
  </si>
  <si>
    <t>XRP</t>
  </si>
  <si>
    <t>ETH</t>
  </si>
  <si>
    <t>SOL</t>
  </si>
  <si>
    <t>BTC</t>
  </si>
  <si>
    <t>NEAR</t>
  </si>
  <si>
    <t>SNX</t>
  </si>
  <si>
    <t>DOG</t>
  </si>
  <si>
    <t>TOTAL</t>
  </si>
  <si>
    <t>ETF USA - Tabela 3</t>
  </si>
  <si>
    <t>ETF USA - Comparação de FII</t>
  </si>
  <si>
    <t>ETF USA - Desenhos</t>
  </si>
  <si>
    <t>Fundos Imobiliários</t>
  </si>
  <si>
    <t>Fundos Imobiliários - Visão Ger</t>
  </si>
  <si>
    <t>Fundos Imobiliários - REFERENCI</t>
  </si>
  <si>
    <t>Fundos Imobiliários - Meu Portf</t>
  </si>
  <si>
    <t>Dividendo Recebido Mensalmente</t>
  </si>
  <si>
    <t>Expectativa Dividendo Recebido Anualmente</t>
  </si>
  <si>
    <t>Com o Dividendo recebido mensalmente consigo comprar…</t>
  </si>
  <si>
    <t>MCCI11</t>
  </si>
  <si>
    <t>FII MAUA    CI</t>
  </si>
  <si>
    <t>FUNDO DE PAPEL</t>
  </si>
  <si>
    <t>PCIP11</t>
  </si>
  <si>
    <t>FII PCIP PAXCI</t>
  </si>
  <si>
    <t>CXCI11</t>
  </si>
  <si>
    <t>FII CAIXA CICI</t>
  </si>
  <si>
    <t>FUNDOS DE FUNDOS (FOF)</t>
  </si>
  <si>
    <t>Fundos Imobiliários - Tabela 1</t>
  </si>
  <si>
    <t>Fundos Imobiliários - Tabela 3</t>
  </si>
  <si>
    <t>Fundos Imobiliários - Desenhos</t>
  </si>
  <si>
    <t>Reit's</t>
  </si>
  <si>
    <t>Reit's - Visão Geral</t>
  </si>
  <si>
    <t>Reit's - REFERENCIAL</t>
  </si>
  <si>
    <t>Reit's - Meu Portfólio</t>
  </si>
  <si>
    <t>Dividendo Recebido por período em reais</t>
  </si>
  <si>
    <t>PSA</t>
  </si>
  <si>
    <t>Public Storage</t>
  </si>
  <si>
    <t>SELF STORAGE</t>
  </si>
  <si>
    <t>VICI</t>
  </si>
  <si>
    <t>VICI Properties Inc.</t>
  </si>
  <si>
    <t>GAMING/LEISURE</t>
  </si>
  <si>
    <t>AMT</t>
  </si>
  <si>
    <t>American Tower Corporation (REI</t>
  </si>
  <si>
    <t>TELECOM TOWERS</t>
  </si>
  <si>
    <t>Reit's - Tabela 1</t>
  </si>
  <si>
    <t>Reit's - Tabela 3</t>
  </si>
  <si>
    <t>Reit's - Desenhos</t>
  </si>
  <si>
    <t>STOCKS</t>
  </si>
  <si>
    <t>STOCKS - Visão Geral</t>
  </si>
  <si>
    <t>Valor Total de Mercado</t>
  </si>
  <si>
    <t>STOCKS - REFERENCIAL</t>
  </si>
  <si>
    <t>STOCKS - Meu Portfólio</t>
  </si>
  <si>
    <t>RACE</t>
  </si>
  <si>
    <t>Ferrari N.V.</t>
  </si>
  <si>
    <t>LUXURY AUTOMOTIVE</t>
  </si>
  <si>
    <t>STOCKS - Tabela 1</t>
  </si>
  <si>
    <t>STOCKS - Tabela 3</t>
  </si>
  <si>
    <t>STOCKS - Desenhos</t>
  </si>
  <si>
    <t>CDB</t>
  </si>
  <si>
    <t>CDB - Visão Geral</t>
  </si>
  <si>
    <t>Ganhos/Perdas</t>
  </si>
  <si>
    <t>CDB - REFERENCIAL</t>
  </si>
  <si>
    <t>CDB - Meu Portfólio</t>
  </si>
  <si>
    <t>Data da Aplicação</t>
  </si>
  <si>
    <t>Data do Vencimento</t>
  </si>
  <si>
    <t>Taxa</t>
  </si>
  <si>
    <t>Mês</t>
  </si>
  <si>
    <t>CDI mensal</t>
  </si>
  <si>
    <t>Fator mensal</t>
  </si>
  <si>
    <t>Fator acumulado</t>
  </si>
  <si>
    <t>Valor Atual estimado</t>
  </si>
  <si>
    <t>Ganhos</t>
  </si>
  <si>
    <t>Rentabilidade acumulada</t>
  </si>
  <si>
    <t>CDI Acumulado</t>
  </si>
  <si>
    <t>Diferença</t>
  </si>
  <si>
    <t>CDB - 1</t>
  </si>
  <si>
    <t>CDB XP - JAN/28</t>
  </si>
  <si>
    <t>100% CDI</t>
  </si>
  <si>
    <t>–</t>
  </si>
  <si>
    <t>Meu Portfólio-1</t>
  </si>
  <si>
    <t>CDB - Meu Portfólio-1</t>
  </si>
  <si>
    <t>Dia úteis</t>
  </si>
  <si>
    <t>Fator</t>
  </si>
  <si>
    <t>Rendimento mensal</t>
  </si>
  <si>
    <t>CDB - 2</t>
  </si>
  <si>
    <t>CDB XP - AGO/26</t>
  </si>
  <si>
    <t>Feriados</t>
  </si>
  <si>
    <t>CDB - Feriados</t>
  </si>
  <si>
    <t>Confraternização Universal</t>
  </si>
  <si>
    <t>Carnaval</t>
  </si>
  <si>
    <t>16/02/1026</t>
  </si>
  <si>
    <t>17/02/1026</t>
  </si>
  <si>
    <t>Paixão de Cristo</t>
  </si>
  <si>
    <t>Tiradentes</t>
  </si>
  <si>
    <t>Dia do trabalho</t>
  </si>
  <si>
    <t>Corpus Christi</t>
  </si>
  <si>
    <t>CDB - Tabela 3</t>
  </si>
  <si>
    <t>CDB - Tabela 1</t>
  </si>
  <si>
    <t>CDB - Desenhos</t>
  </si>
  <si>
    <t>CRI/CRA</t>
  </si>
  <si>
    <t>CRI_CRA - Visão Geral</t>
  </si>
  <si>
    <t>Perdas e Ganhos</t>
  </si>
  <si>
    <t>CRI_CRA - REFERENCIAL</t>
  </si>
  <si>
    <t>CRI_CRA - Meu Portfólio</t>
  </si>
  <si>
    <t>Data do vencimento</t>
  </si>
  <si>
    <t>Taxa praticada</t>
  </si>
  <si>
    <t>IPCA Mensal</t>
  </si>
  <si>
    <t>Fator IPCA</t>
  </si>
  <si>
    <t>Fatos acumulado IPCA</t>
  </si>
  <si>
    <t>9,34%</t>
  </si>
  <si>
    <t>CRA - 1</t>
  </si>
  <si>
    <t>AÇO VERDE - JUN/29</t>
  </si>
  <si>
    <t>IPCA + 9,34%</t>
  </si>
  <si>
    <t>10/0022</t>
  </si>
  <si>
    <t>11/0022</t>
  </si>
  <si>
    <t>12/0022</t>
  </si>
  <si>
    <t>1/0023</t>
  </si>
  <si>
    <t>2/0023</t>
  </si>
  <si>
    <t>3/0023</t>
  </si>
  <si>
    <t>4/0023</t>
  </si>
  <si>
    <t>5/0023</t>
  </si>
  <si>
    <t>6/0023</t>
  </si>
  <si>
    <t>7/0023</t>
  </si>
  <si>
    <t>8/0023</t>
  </si>
  <si>
    <t>9/0023</t>
  </si>
  <si>
    <t>10/0023</t>
  </si>
  <si>
    <t>11/0023</t>
  </si>
  <si>
    <t>12/0023</t>
  </si>
  <si>
    <t>CRI_CRA - Meu Portfólio-1</t>
  </si>
  <si>
    <t>CRA - 2</t>
  </si>
  <si>
    <t>BTG PACTUAL - NOV/33</t>
  </si>
  <si>
    <t>Pré - 12,56%</t>
  </si>
  <si>
    <t>CRI - 1</t>
  </si>
  <si>
    <t>MATEUS SUP JUL/34</t>
  </si>
  <si>
    <t>IPCA + 9,32%</t>
  </si>
  <si>
    <t>CRI - 2</t>
  </si>
  <si>
    <t>SÃO CARLOS SET/29</t>
  </si>
  <si>
    <t>IPCA + 9,57%</t>
  </si>
  <si>
    <t>Feriado</t>
  </si>
  <si>
    <t>CRI_CRA - Feriado</t>
  </si>
  <si>
    <t>Finados</t>
  </si>
  <si>
    <t>Proclamação da República</t>
  </si>
  <si>
    <t>CRI_CRA - Tabela 1</t>
  </si>
  <si>
    <t>CRI_CRA - Tabela 3</t>
  </si>
  <si>
    <t>CRI_CRA - Desenhos</t>
  </si>
  <si>
    <t>FUNDOS</t>
  </si>
  <si>
    <t>FUNDOS - Visão Geral</t>
  </si>
  <si>
    <t>FUNDOS - REFERENCIAL</t>
  </si>
  <si>
    <t>FUNDOS - Meu Portfólio</t>
  </si>
  <si>
    <t>Resgate</t>
  </si>
  <si>
    <t>FUNDO 24H XP</t>
  </si>
  <si>
    <t>CDI</t>
  </si>
  <si>
    <t>BNP PARIBAS</t>
  </si>
  <si>
    <t>FUNDOS - Tabela 1</t>
  </si>
  <si>
    <t>FUNDOS - Tabela 3</t>
  </si>
  <si>
    <t>FUNDOS - Desenhos</t>
  </si>
  <si>
    <t>LCI/LCA</t>
  </si>
  <si>
    <t>LCI_LCA - Visão Geral</t>
  </si>
  <si>
    <t>Ganho/Perda</t>
  </si>
  <si>
    <t>LCI_LCA - REFERENCIAL</t>
  </si>
  <si>
    <t>LCI_LCA - Meu Portfólio</t>
  </si>
  <si>
    <t>LCI</t>
  </si>
  <si>
    <t>LCI BRB - MAI26</t>
  </si>
  <si>
    <t>LCA</t>
  </si>
  <si>
    <t>BANCO RB - JUN/26</t>
  </si>
  <si>
    <t>IPCA + 7,95% ISENTO DE IR</t>
  </si>
  <si>
    <t>LCI_LCA - Tabela 1</t>
  </si>
  <si>
    <t>LCI_LCA - Tabela 3</t>
  </si>
  <si>
    <t>LCI_LCA - Desenhos</t>
  </si>
  <si>
    <t>Tesouro Direto</t>
  </si>
  <si>
    <t>TESOURO IPCA + 2040</t>
  </si>
  <si>
    <t>Tesouro Direto - TESOURO IPCA +</t>
  </si>
  <si>
    <t>DATA DA APLICAÇÃO</t>
  </si>
  <si>
    <t>QTD TÍTULOS ADQUIRIDOS</t>
  </si>
  <si>
    <t>PREÇO DO TÍTULO NA APLICAÇÃO</t>
  </si>
  <si>
    <t>VALOR INVESTIDO</t>
  </si>
  <si>
    <t>RENTABILIDADE CONTRATADA</t>
  </si>
  <si>
    <t>SITUAÇÃO PARA RESGATE ANTECIPADO</t>
  </si>
  <si>
    <t>RENTABILIDADE BRUTA</t>
  </si>
  <si>
    <t>VALOR BRUTO $</t>
  </si>
  <si>
    <t>TEMPO DE APLICAÇÃO EM DIAS CORRIDOS</t>
  </si>
  <si>
    <t>ALÍQUOTA I.R</t>
  </si>
  <si>
    <t>IMPOSTO PREVISTO $</t>
  </si>
  <si>
    <t>TAXA DEVIDA (R$)</t>
  </si>
  <si>
    <t>VALOR LÍQUIDO</t>
  </si>
  <si>
    <t>Lucro/Prejuízo</t>
  </si>
  <si>
    <t>ACUMULADA ANUALIZADA</t>
  </si>
  <si>
    <t>ACUMULADA</t>
  </si>
  <si>
    <t>I.R.</t>
  </si>
  <si>
    <t>IOF</t>
  </si>
  <si>
    <t>B3</t>
  </si>
  <si>
    <t>INSTITUIÇÃO FINANCEIRA</t>
  </si>
  <si>
    <t>IPCA+ 2040</t>
  </si>
  <si>
    <t>IPCA + 7,01%</t>
  </si>
  <si>
    <t>PU - Hoje</t>
  </si>
  <si>
    <t>TX - B3</t>
  </si>
  <si>
    <t>TX - XP</t>
  </si>
  <si>
    <t>TESOURO IPCA + 2050</t>
  </si>
  <si>
    <t>Tesouro Direto - TESOURO IPCA 1</t>
  </si>
  <si>
    <t>IPCA+ 2050</t>
  </si>
  <si>
    <t>IPCA + 7,06%</t>
  </si>
  <si>
    <t>NTN-B Principal - AGO/2060 Tesouro XP</t>
  </si>
  <si>
    <t>Tesouro Direto - NTN-B Principa</t>
  </si>
  <si>
    <t>NTN-B - 2060</t>
  </si>
  <si>
    <t>IPCA + 6,45%</t>
  </si>
  <si>
    <t>NTN-B Principal - AGO/2050 - Tesouro XP</t>
  </si>
  <si>
    <t>Tesouro Direto - NTN-B Princip1</t>
  </si>
  <si>
    <t>NTN-B - 2050</t>
  </si>
  <si>
    <t>IPCA + 6,50%</t>
  </si>
  <si>
    <t>IPCA + 2050</t>
  </si>
  <si>
    <t>Tesouro Direto - IPCA + 2050</t>
  </si>
  <si>
    <t>IPCA + 6,92%</t>
  </si>
  <si>
    <t>Meu Portfólio-1-6</t>
  </si>
  <si>
    <t>Tesouro Direto - Meu Portfólio-</t>
  </si>
  <si>
    <t>QTD Ações</t>
  </si>
  <si>
    <t>Preço pago em Real</t>
  </si>
  <si>
    <t>Valor atual da ação em Real</t>
  </si>
  <si>
    <t>Percentual de lucro</t>
  </si>
  <si>
    <t>MMM</t>
  </si>
  <si>
    <t>3M Company</t>
  </si>
  <si>
    <t>Consolidação</t>
  </si>
  <si>
    <t>Variação Mensal - 2026</t>
  </si>
  <si>
    <t xml:space="preserve">Consolidação - Variação Mensal </t>
  </si>
  <si>
    <t>MÊS</t>
  </si>
  <si>
    <t>VALOR</t>
  </si>
  <si>
    <t>VARIAÇÃO $</t>
  </si>
  <si>
    <t>VARIAÇÃO %</t>
  </si>
  <si>
    <t>DEZ 2025</t>
  </si>
  <si>
    <t>JAN 2026</t>
  </si>
  <si>
    <t>FEV 2026</t>
  </si>
  <si>
    <t>MAR 2026</t>
  </si>
  <si>
    <t>ABR 2026</t>
  </si>
  <si>
    <t>MAI 2026</t>
  </si>
  <si>
    <t>JUN 2026</t>
  </si>
  <si>
    <t>JUL 2026</t>
  </si>
  <si>
    <t>AGO 2026</t>
  </si>
  <si>
    <t>SET 2026</t>
  </si>
  <si>
    <t>OUT 2026</t>
  </si>
  <si>
    <t>NOV 2026</t>
  </si>
  <si>
    <t>DEZ 2026</t>
  </si>
  <si>
    <t>SALDO - 2026</t>
  </si>
  <si>
    <t>Consolidação - AÇÕES</t>
  </si>
  <si>
    <t xml:space="preserve">Quantidade </t>
  </si>
  <si>
    <t>%</t>
  </si>
  <si>
    <t>Valor por ação</t>
  </si>
  <si>
    <r>
      <rPr>
        <u val="single"/>
        <sz val="10"/>
        <color indexed="8"/>
        <rFont val="Avenir Next Demi Bold"/>
      </rPr>
      <t>MELI34</t>
    </r>
  </si>
  <si>
    <r>
      <rPr>
        <u val="single"/>
        <sz val="10"/>
        <color indexed="8"/>
        <rFont val="Avenir Next Demi Bold"/>
      </rPr>
      <t>BBSE3</t>
    </r>
  </si>
  <si>
    <t>Projeção Anual 2026</t>
  </si>
  <si>
    <t>Consolidação - Projeção Anual 2</t>
  </si>
  <si>
    <t>Ativos</t>
  </si>
  <si>
    <t>Total de rendimentos</t>
  </si>
  <si>
    <t>PERCENTUAL DA CARTEIRA</t>
  </si>
  <si>
    <t>Meta DEZ2026</t>
  </si>
  <si>
    <t>AÇÕES - BR</t>
  </si>
  <si>
    <t>ETF - BRASIL</t>
  </si>
  <si>
    <t>ETF - USA</t>
  </si>
  <si>
    <t>FUNDOS IMOBILIÁRIOS</t>
  </si>
  <si>
    <t>REIT’S</t>
  </si>
  <si>
    <t>TESOURO DIRETO</t>
  </si>
  <si>
    <t>Consolidação - ETF - BRASIL</t>
  </si>
  <si>
    <t>ETF</t>
  </si>
  <si>
    <t>QUANTIDADE</t>
  </si>
  <si>
    <t>VALOR DO FUNDO</t>
  </si>
  <si>
    <r>
      <rPr>
        <sz val="10"/>
        <color indexed="8"/>
        <rFont val="Avenir Next Demi Bold"/>
      </rPr>
      <t>COIN11</t>
    </r>
  </si>
  <si>
    <t>Consolidação - ETF - USA</t>
  </si>
  <si>
    <t>VALOR DO ETF</t>
  </si>
  <si>
    <r>
      <rPr>
        <sz val="10"/>
        <color indexed="8"/>
        <rFont val="Avenir Next Demi Bold"/>
      </rPr>
      <t>TLT</t>
    </r>
  </si>
  <si>
    <r>
      <rPr>
        <sz val="10"/>
        <color indexed="8"/>
        <rFont val="Avenir Next Demi Bold"/>
      </rPr>
      <t>BND</t>
    </r>
  </si>
  <si>
    <r>
      <rPr>
        <sz val="10"/>
        <color indexed="8"/>
        <rFont val="Avenir Next Demi Bold"/>
      </rPr>
      <t>IUSB</t>
    </r>
  </si>
  <si>
    <r>
      <rPr>
        <sz val="10"/>
        <color indexed="8"/>
        <rFont val="Avenir Next Demi Bold"/>
      </rPr>
      <t>JCPB</t>
    </r>
  </si>
  <si>
    <r>
      <rPr>
        <sz val="10"/>
        <color indexed="8"/>
        <rFont val="Avenir Next Demi Bold"/>
      </rPr>
      <t>IAGG</t>
    </r>
  </si>
  <si>
    <r>
      <rPr>
        <sz val="10"/>
        <color indexed="8"/>
        <rFont val="Avenir Next Demi Bold"/>
      </rPr>
      <t>IBIT</t>
    </r>
  </si>
  <si>
    <r>
      <rPr>
        <sz val="10"/>
        <color indexed="8"/>
        <rFont val="Avenir Next Demi Bold"/>
      </rPr>
      <t>TFLO</t>
    </r>
  </si>
  <si>
    <t>Consolidação - FUNDOS IMOBILIÁR</t>
  </si>
  <si>
    <r>
      <rPr>
        <sz val="10"/>
        <color indexed="8"/>
        <rFont val="Avenir Next Demi Bold"/>
      </rPr>
      <t>MCCI11</t>
    </r>
  </si>
  <si>
    <r>
      <rPr>
        <sz val="10"/>
        <color indexed="8"/>
        <rFont val="Avenir Next Demi Bold"/>
      </rPr>
      <t>PCIP11</t>
    </r>
  </si>
  <si>
    <r>
      <rPr>
        <sz val="10"/>
        <color indexed="8"/>
        <rFont val="Avenir Next Demi Bold"/>
      </rPr>
      <t>CXCI11</t>
    </r>
  </si>
  <si>
    <t>Consolidação - REIT’S</t>
  </si>
  <si>
    <r>
      <rPr>
        <sz val="10"/>
        <color indexed="8"/>
        <rFont val="Avenir Next Demi Bold"/>
      </rPr>
      <t>PSA</t>
    </r>
  </si>
  <si>
    <r>
      <rPr>
        <sz val="10"/>
        <color indexed="8"/>
        <rFont val="Avenir Next Demi Bold"/>
      </rPr>
      <t>VICI</t>
    </r>
  </si>
  <si>
    <r>
      <rPr>
        <sz val="10"/>
        <color indexed="8"/>
        <rFont val="Avenir Next Demi Bold"/>
      </rPr>
      <t>AMT</t>
    </r>
  </si>
  <si>
    <t>Consolidação - STOCKS</t>
  </si>
  <si>
    <r>
      <rPr>
        <sz val="10"/>
        <color indexed="8"/>
        <rFont val="Avenir Next Demi Bold"/>
      </rPr>
      <t>RACE</t>
    </r>
  </si>
  <si>
    <t>Consolidação - CDB</t>
  </si>
  <si>
    <r>
      <rPr>
        <sz val="10"/>
        <color indexed="8"/>
        <rFont val="Avenir Next Demi Bold"/>
      </rPr>
      <t>CDB XP - JAN/28</t>
    </r>
  </si>
  <si>
    <r>
      <rPr>
        <sz val="10"/>
        <color indexed="8"/>
        <rFont val="Avenir Next Demi Bold"/>
      </rPr>
      <t>CDB XP - AGO/26</t>
    </r>
  </si>
  <si>
    <t>Consolidação - CRI_CRA</t>
  </si>
  <si>
    <r>
      <rPr>
        <sz val="10"/>
        <color indexed="8"/>
        <rFont val="Avenir Next Demi Bold"/>
      </rPr>
      <t>AÇO VERDE - JUN/29</t>
    </r>
  </si>
  <si>
    <r>
      <rPr>
        <sz val="10"/>
        <color indexed="8"/>
        <rFont val="Avenir Next Demi Bold"/>
      </rPr>
      <t>BTG PACTUAL - NOV/33</t>
    </r>
  </si>
  <si>
    <r>
      <rPr>
        <sz val="10"/>
        <color indexed="8"/>
        <rFont val="Avenir Next Demi Bold"/>
      </rPr>
      <t>MATEUS SUP JUL/34</t>
    </r>
  </si>
  <si>
    <r>
      <rPr>
        <sz val="10"/>
        <color indexed="8"/>
        <rFont val="Avenir Next Demi Bold"/>
      </rPr>
      <t>SÃO CARLOS SET/29</t>
    </r>
  </si>
  <si>
    <t>Consolidação - FUNDOS</t>
  </si>
  <si>
    <r>
      <rPr>
        <sz val="10"/>
        <color indexed="8"/>
        <rFont val="Avenir Next Demi Bold"/>
      </rPr>
      <t>FUNDO 24H XP</t>
    </r>
  </si>
  <si>
    <r>
      <rPr>
        <sz val="10"/>
        <color indexed="8"/>
        <rFont val="Avenir Next Demi Bold"/>
      </rPr>
      <t>BNP PARIBAS</t>
    </r>
  </si>
  <si>
    <t>Consolidação - LCI_LCA</t>
  </si>
  <si>
    <r>
      <rPr>
        <sz val="10"/>
        <color indexed="8"/>
        <rFont val="Avenir Next Demi Bold"/>
      </rPr>
      <t>LCI BRB - MAI26</t>
    </r>
  </si>
  <si>
    <r>
      <rPr>
        <sz val="10"/>
        <color indexed="8"/>
        <rFont val="Avenir Next Demi Bold"/>
      </rPr>
      <t>BANCO RB - JUN/26</t>
    </r>
  </si>
  <si>
    <t>Consolidação - TESOURO DIRETO</t>
  </si>
  <si>
    <r>
      <rPr>
        <sz val="10"/>
        <color indexed="8"/>
        <rFont val="Avenir Next Demi Bold"/>
      </rPr>
      <t>IPCA+ 2040</t>
    </r>
  </si>
  <si>
    <r>
      <rPr>
        <sz val="10"/>
        <color indexed="8"/>
        <rFont val="Avenir Next Demi Bold"/>
      </rPr>
      <t>IPCA+ 2050</t>
    </r>
  </si>
  <si>
    <r>
      <rPr>
        <sz val="10"/>
        <color indexed="8"/>
        <rFont val="Avenir Next Demi Bold"/>
      </rPr>
      <t>NTN-B - 2060</t>
    </r>
  </si>
  <si>
    <r>
      <rPr>
        <sz val="10"/>
        <color indexed="8"/>
        <rFont val="Avenir Next Demi Bold"/>
      </rPr>
      <t>NTN-B - 2050</t>
    </r>
  </si>
  <si>
    <t>Consolidação - Desenhos</t>
  </si>
</sst>
</file>

<file path=xl/styles.xml><?xml version="1.0" encoding="utf-8"?>
<styleSheet xmlns="http://schemas.openxmlformats.org/spreadsheetml/2006/main">
  <numFmts count="17">
    <numFmt numFmtId="0" formatCode="General"/>
    <numFmt numFmtId="59" formatCode="[$R$-416] #,##0.00"/>
    <numFmt numFmtId="60" formatCode="#,##0.00%"/>
    <numFmt numFmtId="61" formatCode="[$R$-416] 0.00"/>
    <numFmt numFmtId="62" formatCode="0.0%"/>
    <numFmt numFmtId="63" formatCode="dd/mm/yyyy"/>
    <numFmt numFmtId="64" formatCode="0.0"/>
    <numFmt numFmtId="65" formatCode="_-[$R$-416]* #,##0.00_-;_-[$R$-416]* \(#,##0.00\)_-;_-[$R$-416]* &quot;-&quot;??;_-@_-"/>
    <numFmt numFmtId="66" formatCode="[$$-409] 0.00"/>
    <numFmt numFmtId="67" formatCode="d/m/yyyy"/>
    <numFmt numFmtId="68" formatCode="#,##0.0%"/>
    <numFmt numFmtId="69" formatCode="#,##0%"/>
    <numFmt numFmtId="70" formatCode="[$€-2] 0.00"/>
    <numFmt numFmtId="71" formatCode="m/yyyy"/>
    <numFmt numFmtId="72" formatCode="0.0000"/>
    <numFmt numFmtId="73" formatCode="#,##0.0000"/>
    <numFmt numFmtId="74" formatCode="[$$-409] #,##0.00"/>
  </numFmts>
  <fonts count="14">
    <font>
      <sz val="10"/>
      <color indexed="8"/>
      <name val="Avenir Next Regular"/>
    </font>
    <font>
      <sz val="12"/>
      <color indexed="8"/>
      <name val="Avenir Next Regular"/>
    </font>
    <font>
      <sz val="14"/>
      <color indexed="8"/>
      <name val="Avenir Next Regular"/>
    </font>
    <font>
      <u val="single"/>
      <sz val="12"/>
      <color indexed="11"/>
      <name val="Avenir Next Regular"/>
    </font>
    <font>
      <sz val="21"/>
      <color indexed="8"/>
      <name val="Avenir Next Regular"/>
    </font>
    <font>
      <sz val="15"/>
      <color indexed="8"/>
      <name val="Avenir Next Regular"/>
    </font>
    <font>
      <sz val="10"/>
      <color indexed="18"/>
      <name val="Avenir Next Regular"/>
    </font>
    <font>
      <sz val="10"/>
      <color indexed="20"/>
      <name val="Avenir Next Regular"/>
    </font>
    <font>
      <sz val="10"/>
      <color indexed="8"/>
      <name val="Avenir Next Demi Bold"/>
    </font>
    <font>
      <sz val="11"/>
      <color indexed="8"/>
      <name val="Avenir Next Regular"/>
    </font>
    <font>
      <u val="single"/>
      <sz val="16"/>
      <color indexed="24"/>
      <name val="Helvetica Neue"/>
    </font>
    <font>
      <b val="1"/>
      <sz val="10"/>
      <color indexed="8"/>
      <name val="Avenir Next Regular"/>
    </font>
    <font>
      <b val="1"/>
      <sz val="32"/>
      <color indexed="33"/>
      <name val="Publico Headline Roman"/>
    </font>
    <font>
      <u val="single"/>
      <sz val="10"/>
      <color indexed="8"/>
      <name val="Avenir Next Demi Bold"/>
    </font>
  </fonts>
  <fills count="1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8"/>
        <bgColor auto="1"/>
      </patternFill>
    </fill>
    <fill>
      <patternFill patternType="solid">
        <fgColor indexed="44"/>
        <bgColor auto="1"/>
      </patternFill>
    </fill>
  </fills>
  <borders count="52">
    <border>
      <left/>
      <right/>
      <top/>
      <bottom/>
      <diagonal/>
    </border>
    <border>
      <left>
        <color indexed="8"/>
      </left>
      <right>
        <color indexed="8"/>
      </right>
      <top>
        <color indexed="8"/>
      </top>
      <bottom style="thin">
        <color indexed="13"/>
      </bottom>
      <diagonal/>
    </border>
    <border>
      <left>
        <color indexed="8"/>
      </left>
      <right>
        <color indexed="8"/>
      </right>
      <top style="thin">
        <color indexed="13"/>
      </top>
      <bottom style="thin">
        <color indexed="13"/>
      </bottom>
      <diagonal/>
    </border>
    <border>
      <left>
        <color indexed="8"/>
      </left>
      <right>
        <color indexed="8"/>
      </right>
      <top style="thin">
        <color indexed="13"/>
      </top>
      <bottom>
        <color indexed="8"/>
      </bottom>
      <diagonal/>
    </border>
    <border>
      <left style="thin">
        <color indexed="17"/>
      </left>
      <right style="thin">
        <color indexed="13"/>
      </right>
      <top style="thin">
        <color indexed="17"/>
      </top>
      <bottom style="thin">
        <color indexed="13"/>
      </bottom>
      <diagonal/>
    </border>
    <border>
      <left style="thin">
        <color indexed="13"/>
      </left>
      <right style="thin">
        <color indexed="17"/>
      </right>
      <top style="thin">
        <color indexed="17"/>
      </top>
      <bottom style="thin">
        <color indexed="13"/>
      </bottom>
      <diagonal/>
    </border>
    <border>
      <left style="thin">
        <color indexed="17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7"/>
      </right>
      <top style="thin">
        <color indexed="13"/>
      </top>
      <bottom style="thin">
        <color indexed="13"/>
      </bottom>
      <diagonal/>
    </border>
    <border>
      <left style="thin">
        <color indexed="17"/>
      </left>
      <right style="thin">
        <color indexed="13"/>
      </right>
      <top style="thin">
        <color indexed="13"/>
      </top>
      <bottom style="thin">
        <color indexed="17"/>
      </bottom>
      <diagonal/>
    </border>
    <border>
      <left style="thin">
        <color indexed="13"/>
      </left>
      <right style="thin">
        <color indexed="17"/>
      </right>
      <top style="thin">
        <color indexed="13"/>
      </top>
      <bottom style="thin">
        <color indexed="17"/>
      </bottom>
      <diagonal/>
    </border>
    <border>
      <left style="thin">
        <color indexed="17"/>
      </left>
      <right/>
      <top style="thin">
        <color indexed="17"/>
      </top>
      <bottom style="thin">
        <color indexed="13"/>
      </bottom>
      <diagonal/>
    </border>
    <border>
      <left/>
      <right/>
      <top style="thin">
        <color indexed="17"/>
      </top>
      <bottom style="thin">
        <color indexed="13"/>
      </bottom>
      <diagonal/>
    </border>
    <border>
      <left/>
      <right style="thin">
        <color indexed="17"/>
      </right>
      <top style="thin">
        <color indexed="17"/>
      </top>
      <bottom style="thin">
        <color indexed="13"/>
      </bottom>
      <diagonal/>
    </border>
    <border>
      <left style="thin">
        <color indexed="17"/>
      </left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 style="thin">
        <color indexed="17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7"/>
      </left>
      <right style="thin">
        <color indexed="13"/>
      </right>
      <top style="thin">
        <color indexed="13"/>
      </top>
      <bottom style="thin">
        <color indexed="3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30"/>
      </bottom>
      <diagonal/>
    </border>
    <border>
      <left style="thin">
        <color indexed="13"/>
      </left>
      <right style="thin">
        <color indexed="17"/>
      </right>
      <top style="thin">
        <color indexed="13"/>
      </top>
      <bottom style="thin">
        <color indexed="30"/>
      </bottom>
      <diagonal/>
    </border>
    <border>
      <left style="thin">
        <color indexed="17"/>
      </left>
      <right style="thin">
        <color indexed="13"/>
      </right>
      <top style="thin">
        <color indexed="30"/>
      </top>
      <bottom style="thin">
        <color indexed="17"/>
      </bottom>
      <diagonal/>
    </border>
    <border>
      <left style="thin">
        <color indexed="13"/>
      </left>
      <right style="thin">
        <color indexed="13"/>
      </right>
      <top style="thin">
        <color indexed="30"/>
      </top>
      <bottom style="thin">
        <color indexed="17"/>
      </bottom>
      <diagonal/>
    </border>
    <border>
      <left style="thin">
        <color indexed="13"/>
      </left>
      <right style="thin">
        <color indexed="17"/>
      </right>
      <top style="thin">
        <color indexed="30"/>
      </top>
      <bottom style="thin">
        <color indexed="17"/>
      </bottom>
      <diagonal/>
    </border>
    <border>
      <left style="thin">
        <color indexed="17"/>
      </left>
      <right/>
      <top style="thin">
        <color indexed="17"/>
      </top>
      <bottom style="thin">
        <color indexed="30"/>
      </bottom>
      <diagonal/>
    </border>
    <border>
      <left/>
      <right/>
      <top style="thin">
        <color indexed="17"/>
      </top>
      <bottom style="thin">
        <color indexed="30"/>
      </bottom>
      <diagonal/>
    </border>
    <border>
      <left/>
      <right style="thin">
        <color indexed="17"/>
      </right>
      <top style="thin">
        <color indexed="17"/>
      </top>
      <bottom style="thin">
        <color indexed="30"/>
      </bottom>
      <diagonal/>
    </border>
    <border>
      <left style="thin">
        <color indexed="17"/>
      </left>
      <right style="thin">
        <color indexed="13"/>
      </right>
      <top style="thin">
        <color indexed="30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30"/>
      </top>
      <bottom style="thin">
        <color indexed="13"/>
      </bottom>
      <diagonal/>
    </border>
    <border>
      <left style="thin">
        <color indexed="13"/>
      </left>
      <right style="thin">
        <color indexed="17"/>
      </right>
      <top style="thin">
        <color indexed="30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3"/>
      </bottom>
      <diagonal/>
    </border>
    <border>
      <left style="thin">
        <color indexed="17"/>
      </left>
      <right style="thin">
        <color indexed="17"/>
      </right>
      <top style="thin">
        <color indexed="13"/>
      </top>
      <bottom style="thin">
        <color indexed="13"/>
      </bottom>
      <diagonal/>
    </border>
    <border>
      <left style="thin">
        <color indexed="17"/>
      </left>
      <right style="thin">
        <color indexed="17"/>
      </right>
      <top style="thin">
        <color indexed="13"/>
      </top>
      <bottom style="thin">
        <color indexed="30"/>
      </bottom>
      <diagonal/>
    </border>
    <border>
      <left style="thin">
        <color indexed="17"/>
      </left>
      <right style="thin">
        <color indexed="17"/>
      </right>
      <top style="thin">
        <color indexed="30"/>
      </top>
      <bottom style="thin">
        <color indexed="17"/>
      </bottom>
      <diagonal/>
    </border>
    <border>
      <left style="thin">
        <color indexed="17"/>
      </left>
      <right style="thin">
        <color indexed="13"/>
      </right>
      <top style="thin">
        <color indexed="13"/>
      </top>
      <bottom style="thin">
        <color indexed="37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37"/>
      </bottom>
      <diagonal/>
    </border>
    <border>
      <left style="thin">
        <color indexed="13"/>
      </left>
      <right style="thin">
        <color indexed="17"/>
      </right>
      <top style="thin">
        <color indexed="13"/>
      </top>
      <bottom style="thin">
        <color indexed="37"/>
      </bottom>
      <diagonal/>
    </border>
    <border>
      <left style="thin">
        <color indexed="39"/>
      </left>
      <right style="thin">
        <color indexed="13"/>
      </right>
      <top style="thin">
        <color indexed="37"/>
      </top>
      <bottom style="thin">
        <color indexed="37"/>
      </bottom>
      <diagonal/>
    </border>
    <border>
      <left style="thin">
        <color indexed="13"/>
      </left>
      <right style="thin">
        <color indexed="13"/>
      </right>
      <top style="thin">
        <color indexed="37"/>
      </top>
      <bottom style="thin">
        <color indexed="37"/>
      </bottom>
      <diagonal/>
    </border>
    <border>
      <left style="thin">
        <color indexed="13"/>
      </left>
      <right style="thin">
        <color indexed="39"/>
      </right>
      <top style="thin">
        <color indexed="37"/>
      </top>
      <bottom style="thin">
        <color indexed="37"/>
      </bottom>
      <diagonal/>
    </border>
    <border>
      <left style="thin">
        <color indexed="17"/>
      </left>
      <right style="thin">
        <color indexed="13"/>
      </right>
      <top style="thin">
        <color indexed="37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37"/>
      </top>
      <bottom style="thin">
        <color indexed="13"/>
      </bottom>
      <diagonal/>
    </border>
    <border>
      <left style="thin">
        <color indexed="13"/>
      </left>
      <right style="thin">
        <color indexed="17"/>
      </right>
      <top style="thin">
        <color indexed="37"/>
      </top>
      <bottom style="thin">
        <color indexed="13"/>
      </bottom>
      <diagonal/>
    </border>
    <border>
      <left style="thin">
        <color indexed="13"/>
      </left>
      <right>
        <color indexed="8"/>
      </right>
      <top style="thin">
        <color indexed="30"/>
      </top>
      <bottom style="thin">
        <color indexed="17"/>
      </bottom>
      <diagonal/>
    </border>
    <border>
      <left>
        <color indexed="8"/>
      </left>
      <right>
        <color indexed="8"/>
      </right>
      <top style="thin">
        <color indexed="30"/>
      </top>
      <bottom style="thin">
        <color indexed="17"/>
      </bottom>
      <diagonal/>
    </border>
    <border>
      <left>
        <color indexed="8"/>
      </left>
      <right style="thin">
        <color indexed="17"/>
      </right>
      <top style="thin">
        <color indexed="30"/>
      </top>
      <bottom style="thin">
        <color indexed="17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ck">
        <color indexed="8"/>
      </bottom>
      <diagonal/>
    </border>
    <border>
      <left style="thin">
        <color indexed="13"/>
      </left>
      <right style="thin">
        <color indexed="17"/>
      </right>
      <top style="thin">
        <color indexed="13"/>
      </top>
      <bottom style="thick">
        <color indexed="8"/>
      </bottom>
      <diagonal/>
    </border>
    <border>
      <left style="thin">
        <color indexed="13"/>
      </left>
      <right style="thick">
        <color indexed="8"/>
      </right>
      <top style="thin">
        <color indexed="13"/>
      </top>
      <bottom style="thin">
        <color indexed="17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7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40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fillId="4" applyNumberFormat="1" applyFont="1" applyFill="1" applyBorder="0" applyAlignment="1" applyProtection="0">
      <alignment vertical="top" wrapText="1"/>
    </xf>
    <xf numFmtId="49" fontId="1" fillId="4" borderId="1" applyNumberFormat="1" applyFont="1" applyFill="1" applyBorder="1" applyAlignment="1" applyProtection="0">
      <alignment vertical="center" wrapText="1"/>
    </xf>
    <xf numFmtId="59" fontId="4" fillId="4" borderId="1" applyNumberFormat="1" applyFont="1" applyFill="1" applyBorder="1" applyAlignment="1" applyProtection="0">
      <alignment vertical="center" wrapText="1"/>
    </xf>
    <xf numFmtId="0" fontId="0" fillId="4" borderId="1" applyNumberFormat="0" applyFont="1" applyFill="1" applyBorder="1" applyAlignment="1" applyProtection="0">
      <alignment vertical="top" wrapText="1"/>
    </xf>
    <xf numFmtId="49" fontId="1" fillId="4" borderId="2" applyNumberFormat="1" applyFont="1" applyFill="1" applyBorder="1" applyAlignment="1" applyProtection="0">
      <alignment vertical="center" wrapText="1"/>
    </xf>
    <xf numFmtId="59" fontId="5" fillId="4" borderId="2" applyNumberFormat="1" applyFont="1" applyFill="1" applyBorder="1" applyAlignment="1" applyProtection="0">
      <alignment vertical="center" wrapText="1"/>
    </xf>
    <xf numFmtId="0" fontId="5" fillId="4" borderId="2" applyNumberFormat="0" applyFont="1" applyFill="1" applyBorder="1" applyAlignment="1" applyProtection="0">
      <alignment vertical="center" wrapText="1"/>
    </xf>
    <xf numFmtId="49" fontId="1" fillId="4" borderId="3" applyNumberFormat="1" applyFont="1" applyFill="1" applyBorder="1" applyAlignment="1" applyProtection="0">
      <alignment vertical="center" wrapText="1"/>
    </xf>
    <xf numFmtId="60" fontId="5" fillId="4" borderId="3" applyNumberFormat="1" applyFont="1" applyFill="1" applyBorder="1" applyAlignment="1" applyProtection="0">
      <alignment vertical="center" wrapText="1"/>
    </xf>
    <xf numFmtId="0" fontId="5" fillId="4" borderId="3" applyNumberFormat="0" applyFont="1" applyFill="1" applyBorder="1" applyAlignment="1" applyProtection="0">
      <alignment vertical="center" wrapText="1"/>
    </xf>
    <xf numFmtId="0" fontId="0" fillId="4" applyNumberFormat="1" applyFont="1" applyFill="1" applyBorder="0" applyAlignment="1" applyProtection="0">
      <alignment vertical="top" wrapText="1"/>
    </xf>
    <xf numFmtId="0" fontId="1" fillId="4" applyNumberFormat="0" applyFont="1" applyFill="1" applyBorder="0" applyAlignment="1" applyProtection="0">
      <alignment horizontal="center" vertical="center"/>
    </xf>
    <xf numFmtId="0" fontId="0" fillId="5" borderId="4" applyNumberFormat="0" applyFont="1" applyFill="1" applyBorder="1" applyAlignment="1" applyProtection="0">
      <alignment vertical="top" wrapText="1"/>
    </xf>
    <xf numFmtId="49" fontId="0" fillId="4" borderId="5" applyNumberFormat="1" applyFont="1" applyFill="1" applyBorder="1" applyAlignment="1" applyProtection="0">
      <alignment vertical="top" wrapText="1"/>
    </xf>
    <xf numFmtId="0" fontId="6" fillId="6" borderId="6" applyNumberFormat="0" applyFont="1" applyFill="1" applyBorder="1" applyAlignment="1" applyProtection="0">
      <alignment vertical="top" wrapText="1"/>
    </xf>
    <xf numFmtId="49" fontId="0" fillId="7" borderId="7" applyNumberFormat="1" applyFont="1" applyFill="1" applyBorder="1" applyAlignment="1" applyProtection="0">
      <alignment vertical="top" wrapText="1"/>
    </xf>
    <xf numFmtId="0" fontId="7" fillId="8" borderId="6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9" borderId="8" applyNumberFormat="0" applyFont="1" applyFill="1" applyBorder="1" applyAlignment="1" applyProtection="0">
      <alignment vertical="top" wrapText="1"/>
    </xf>
    <xf numFmtId="49" fontId="0" fillId="7" borderId="9" applyNumberFormat="1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49" fontId="8" fillId="10" borderId="10" applyNumberFormat="1" applyFont="1" applyFill="1" applyBorder="1" applyAlignment="1" applyProtection="0">
      <alignment vertical="top" wrapText="1"/>
    </xf>
    <xf numFmtId="49" fontId="8" fillId="10" borderId="11" applyNumberFormat="1" applyFont="1" applyFill="1" applyBorder="1" applyAlignment="1" applyProtection="0">
      <alignment vertical="top" wrapText="1"/>
    </xf>
    <xf numFmtId="49" fontId="8" fillId="10" borderId="11" applyNumberFormat="1" applyFont="1" applyFill="1" applyBorder="1" applyAlignment="1" applyProtection="0">
      <alignment horizontal="center" vertical="top" wrapText="1"/>
    </xf>
    <xf numFmtId="49" fontId="8" fillId="10" borderId="11" applyNumberFormat="1" applyFont="1" applyFill="1" applyBorder="1" applyAlignment="1" applyProtection="0">
      <alignment horizontal="left" vertical="top" wrapText="1"/>
    </xf>
    <xf numFmtId="49" fontId="8" fillId="10" borderId="12" applyNumberFormat="1" applyFont="1" applyFill="1" applyBorder="1" applyAlignment="1" applyProtection="0">
      <alignment vertical="top" wrapText="1"/>
    </xf>
    <xf numFmtId="49" fontId="8" fillId="10" borderId="13" applyNumberFormat="1" applyFont="1" applyFill="1" applyBorder="1" applyAlignment="1" applyProtection="0">
      <alignment vertical="top" wrapText="1"/>
    </xf>
    <xf numFmtId="49" fontId="8" fillId="10" borderId="14" applyNumberFormat="1" applyFont="1" applyFill="1" applyBorder="1" applyAlignment="1" applyProtection="0">
      <alignment vertical="top" wrapText="1"/>
    </xf>
    <xf numFmtId="49" fontId="8" fillId="10" borderId="14" applyNumberFormat="1" applyFont="1" applyFill="1" applyBorder="1" applyAlignment="1" applyProtection="0">
      <alignment horizontal="center" vertical="top" wrapText="1"/>
    </xf>
    <xf numFmtId="49" fontId="8" fillId="10" borderId="14" applyNumberFormat="1" applyFont="1" applyFill="1" applyBorder="1" applyAlignment="1" applyProtection="0">
      <alignment horizontal="left" vertical="top" wrapText="1"/>
    </xf>
    <xf numFmtId="49" fontId="8" fillId="10" borderId="15" applyNumberFormat="1" applyFont="1" applyFill="1" applyBorder="1" applyAlignment="1" applyProtection="0">
      <alignment vertical="top" wrapText="1"/>
    </xf>
    <xf numFmtId="49" fontId="8" fillId="11" borderId="6" applyNumberFormat="1" applyFont="1" applyFill="1" applyBorder="1" applyAlignment="1" applyProtection="0">
      <alignment horizontal="center" vertical="center" wrapText="1"/>
    </xf>
    <xf numFmtId="0" fontId="0" fillId="4" borderId="16" applyNumberFormat="0" applyFont="1" applyFill="1" applyBorder="1" applyAlignment="1" applyProtection="0">
      <alignment horizontal="center" vertical="center" wrapText="1"/>
    </xf>
    <xf numFmtId="49" fontId="10" fillId="4" borderId="16" applyNumberFormat="1" applyFont="1" applyFill="1" applyBorder="1" applyAlignment="1" applyProtection="0">
      <alignment horizontal="center" vertical="top" wrapText="1" readingOrder="1"/>
    </xf>
    <xf numFmtId="61" fontId="0" fillId="4" borderId="16" applyNumberFormat="1" applyFont="1" applyFill="1" applyBorder="1" applyAlignment="1" applyProtection="0">
      <alignment vertical="top" wrapText="1"/>
    </xf>
    <xf numFmtId="60" fontId="0" fillId="4" borderId="16" applyNumberFormat="1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59" fontId="0" fillId="4" borderId="16" applyNumberFormat="1" applyFont="1" applyFill="1" applyBorder="1" applyAlignment="1" applyProtection="0">
      <alignment horizontal="right" vertical="top" wrapText="1"/>
    </xf>
    <xf numFmtId="59" fontId="0" fillId="4" borderId="16" applyNumberFormat="1" applyFont="1" applyFill="1" applyBorder="1" applyAlignment="1" applyProtection="0">
      <alignment vertical="top" wrapText="1"/>
    </xf>
    <xf numFmtId="62" fontId="0" fillId="4" borderId="16" applyNumberFormat="1" applyFont="1" applyFill="1" applyBorder="1" applyAlignment="1" applyProtection="0">
      <alignment horizontal="right" vertical="top" wrapText="1"/>
    </xf>
    <xf numFmtId="61" fontId="0" fillId="4" borderId="16" applyNumberFormat="1" applyFont="1" applyFill="1" applyBorder="1" applyAlignment="1" applyProtection="0">
      <alignment horizontal="center" vertical="center" wrapText="1"/>
    </xf>
    <xf numFmtId="61" fontId="0" fillId="4" borderId="7" applyNumberFormat="1" applyFont="1" applyFill="1" applyBorder="1" applyAlignment="1" applyProtection="0">
      <alignment horizontal="center" vertical="center" wrapText="1"/>
    </xf>
    <xf numFmtId="49" fontId="8" fillId="11" borderId="17" applyNumberFormat="1" applyFont="1" applyFill="1" applyBorder="1" applyAlignment="1" applyProtection="0">
      <alignment horizontal="center" vertical="center" wrapText="1"/>
    </xf>
    <xf numFmtId="0" fontId="0" fillId="7" borderId="18" applyNumberFormat="0" applyFont="1" applyFill="1" applyBorder="1" applyAlignment="1" applyProtection="0">
      <alignment horizontal="center" vertical="center" wrapText="1"/>
    </xf>
    <xf numFmtId="49" fontId="10" fillId="7" borderId="18" applyNumberFormat="1" applyFont="1" applyFill="1" applyBorder="1" applyAlignment="1" applyProtection="0">
      <alignment horizontal="center" vertical="top" wrapText="1" readingOrder="1"/>
    </xf>
    <xf numFmtId="61" fontId="0" fillId="7" borderId="18" applyNumberFormat="1" applyFont="1" applyFill="1" applyBorder="1" applyAlignment="1" applyProtection="0">
      <alignment vertical="center" wrapText="1"/>
    </xf>
    <xf numFmtId="59" fontId="0" fillId="7" borderId="18" applyNumberFormat="1" applyFont="1" applyFill="1" applyBorder="1" applyAlignment="1" applyProtection="0">
      <alignment vertical="center" wrapText="1"/>
    </xf>
    <xf numFmtId="60" fontId="0" fillId="7" borderId="18" applyNumberFormat="1" applyFont="1" applyFill="1" applyBorder="1" applyAlignment="1" applyProtection="0">
      <alignment vertical="center" wrapText="1"/>
    </xf>
    <xf numFmtId="0" fontId="0" fillId="7" borderId="18" applyNumberFormat="1" applyFont="1" applyFill="1" applyBorder="1" applyAlignment="1" applyProtection="0">
      <alignment vertical="center" wrapText="1"/>
    </xf>
    <xf numFmtId="59" fontId="0" fillId="7" borderId="18" applyNumberFormat="1" applyFont="1" applyFill="1" applyBorder="1" applyAlignment="1" applyProtection="0">
      <alignment horizontal="right" vertical="top" wrapText="1"/>
    </xf>
    <xf numFmtId="59" fontId="0" fillId="7" borderId="18" applyNumberFormat="1" applyFont="1" applyFill="1" applyBorder="1" applyAlignment="1" applyProtection="0">
      <alignment vertical="top" wrapText="1"/>
    </xf>
    <xf numFmtId="62" fontId="0" fillId="7" borderId="18" applyNumberFormat="1" applyFont="1" applyFill="1" applyBorder="1" applyAlignment="1" applyProtection="0">
      <alignment horizontal="right" vertical="top" wrapText="1"/>
    </xf>
    <xf numFmtId="63" fontId="0" fillId="7" borderId="18" applyNumberFormat="1" applyFont="1" applyFill="1" applyBorder="1" applyAlignment="1" applyProtection="0">
      <alignment horizontal="center" vertical="center" wrapText="1"/>
    </xf>
    <xf numFmtId="61" fontId="0" fillId="7" borderId="18" applyNumberFormat="1" applyFont="1" applyFill="1" applyBorder="1" applyAlignment="1" applyProtection="0">
      <alignment horizontal="center" vertical="center" wrapText="1"/>
    </xf>
    <xf numFmtId="64" fontId="0" fillId="7" borderId="18" applyNumberFormat="1" applyFont="1" applyFill="1" applyBorder="1" applyAlignment="1" applyProtection="0">
      <alignment horizontal="center" vertical="center" wrapText="1"/>
    </xf>
    <xf numFmtId="1" fontId="0" fillId="7" borderId="18" applyNumberFormat="1" applyFont="1" applyFill="1" applyBorder="1" applyAlignment="1" applyProtection="0">
      <alignment horizontal="center" vertical="center" wrapText="1"/>
    </xf>
    <xf numFmtId="61" fontId="0" fillId="7" borderId="19" applyNumberFormat="1" applyFont="1" applyFill="1" applyBorder="1" applyAlignment="1" applyProtection="0">
      <alignment horizontal="center" vertical="center" wrapText="1"/>
    </xf>
    <xf numFmtId="49" fontId="8" fillId="4" borderId="20" applyNumberFormat="1" applyFont="1" applyFill="1" applyBorder="1" applyAlignment="1" applyProtection="0">
      <alignment vertical="top" wrapText="1"/>
    </xf>
    <xf numFmtId="0" fontId="8" fillId="4" borderId="21" applyNumberFormat="0" applyFont="1" applyFill="1" applyBorder="1" applyAlignment="1" applyProtection="0">
      <alignment vertical="top" wrapText="1"/>
    </xf>
    <xf numFmtId="0" fontId="8" fillId="4" borderId="21" applyNumberFormat="0" applyFont="1" applyFill="1" applyBorder="1" applyAlignment="1" applyProtection="0">
      <alignment horizontal="center" vertical="top" wrapText="1"/>
    </xf>
    <xf numFmtId="0" fontId="8" fillId="4" borderId="21" applyNumberFormat="1" applyFont="1" applyFill="1" applyBorder="1" applyAlignment="1" applyProtection="0">
      <alignment vertical="top" wrapText="1"/>
    </xf>
    <xf numFmtId="0" fontId="8" fillId="4" borderId="21" applyNumberFormat="0" applyFont="1" applyFill="1" applyBorder="1" applyAlignment="1" applyProtection="0">
      <alignment horizontal="right" vertical="top" wrapText="1"/>
    </xf>
    <xf numFmtId="59" fontId="8" fillId="4" borderId="21" applyNumberFormat="1" applyFont="1" applyFill="1" applyBorder="1" applyAlignment="1" applyProtection="0">
      <alignment vertical="top" wrapText="1"/>
    </xf>
    <xf numFmtId="59" fontId="8" fillId="4" borderId="21" applyNumberFormat="1" applyFont="1" applyFill="1" applyBorder="1" applyAlignment="1" applyProtection="0">
      <alignment horizontal="right" vertical="top" wrapText="1"/>
    </xf>
    <xf numFmtId="62" fontId="8" fillId="4" borderId="21" applyNumberFormat="1" applyFont="1" applyFill="1" applyBorder="1" applyAlignment="1" applyProtection="0">
      <alignment horizontal="right" vertical="top" wrapText="1"/>
    </xf>
    <xf numFmtId="60" fontId="8" fillId="4" borderId="21" applyNumberFormat="1" applyFont="1" applyFill="1" applyBorder="1" applyAlignment="1" applyProtection="0">
      <alignment horizontal="center" vertical="top" wrapText="1"/>
    </xf>
    <xf numFmtId="61" fontId="8" fillId="4" borderId="21" applyNumberFormat="1" applyFont="1" applyFill="1" applyBorder="1" applyAlignment="1" applyProtection="0">
      <alignment horizontal="center" vertical="top" wrapText="1"/>
    </xf>
    <xf numFmtId="0" fontId="8" fillId="4" borderId="21" applyNumberFormat="1" applyFont="1" applyFill="1" applyBorder="1" applyAlignment="1" applyProtection="0">
      <alignment horizontal="center" vertical="top" wrapText="1"/>
    </xf>
    <xf numFmtId="61" fontId="8" fillId="4" borderId="21" applyNumberFormat="1" applyFont="1" applyFill="1" applyBorder="1" applyAlignment="1" applyProtection="0">
      <alignment vertical="top" wrapText="1"/>
    </xf>
    <xf numFmtId="61" fontId="8" fillId="4" borderId="22" applyNumberFormat="1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8" fillId="12" borderId="23" applyNumberFormat="0" applyFont="1" applyFill="1" applyBorder="1" applyAlignment="1" applyProtection="0">
      <alignment vertical="top" wrapText="1"/>
    </xf>
    <xf numFmtId="0" fontId="8" fillId="12" borderId="24" applyNumberFormat="0" applyFont="1" applyFill="1" applyBorder="1" applyAlignment="1" applyProtection="0">
      <alignment vertical="top" wrapText="1"/>
    </xf>
    <xf numFmtId="0" fontId="8" fillId="12" borderId="25" applyNumberFormat="0" applyFont="1" applyFill="1" applyBorder="1" applyAlignment="1" applyProtection="0">
      <alignment vertical="top" wrapText="1"/>
    </xf>
    <xf numFmtId="0" fontId="8" fillId="4" borderId="26" applyNumberFormat="0" applyFont="1" applyFill="1" applyBorder="1" applyAlignment="1" applyProtection="0">
      <alignment vertical="top" wrapText="1"/>
    </xf>
    <xf numFmtId="0" fontId="0" fillId="4" borderId="27" applyNumberFormat="0" applyFont="1" applyFill="1" applyBorder="1" applyAlignment="1" applyProtection="0">
      <alignment vertical="top" wrapText="1"/>
    </xf>
    <xf numFmtId="0" fontId="0" fillId="4" borderId="28" applyNumberFormat="0" applyFont="1" applyFill="1" applyBorder="1" applyAlignment="1" applyProtection="0">
      <alignment vertical="top" wrapText="1"/>
    </xf>
    <xf numFmtId="0" fontId="8" fillId="4" borderId="6" applyNumberFormat="0" applyFont="1" applyFill="1" applyBorder="1" applyAlignment="1" applyProtection="0">
      <alignment vertical="top" wrapText="1"/>
    </xf>
    <xf numFmtId="0" fontId="0" fillId="7" borderId="16" applyNumberFormat="0" applyFont="1" applyFill="1" applyBorder="1" applyAlignment="1" applyProtection="0">
      <alignment vertical="top" wrapText="1"/>
    </xf>
    <xf numFmtId="0" fontId="0" fillId="7" borderId="7" applyNumberFormat="0" applyFont="1" applyFill="1" applyBorder="1" applyAlignment="1" applyProtection="0">
      <alignment vertical="top" wrapText="1"/>
    </xf>
    <xf numFmtId="0" fontId="0" fillId="4" borderId="1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8" fillId="4" borderId="8" applyNumberFormat="0" applyFont="1" applyFill="1" applyBorder="1" applyAlignment="1" applyProtection="0">
      <alignment vertical="top" wrapText="1"/>
    </xf>
    <xf numFmtId="0" fontId="0" fillId="4" borderId="29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49" fontId="8" fillId="12" borderId="23" applyNumberFormat="1" applyFont="1" applyFill="1" applyBorder="1" applyAlignment="1" applyProtection="0">
      <alignment vertical="top" wrapText="1"/>
    </xf>
    <xf numFmtId="49" fontId="8" fillId="12" borderId="24" applyNumberFormat="1" applyFont="1" applyFill="1" applyBorder="1" applyAlignment="1" applyProtection="0">
      <alignment vertical="top" wrapText="1"/>
    </xf>
    <xf numFmtId="49" fontId="8" fillId="13" borderId="26" applyNumberFormat="1" applyFont="1" applyFill="1" applyBorder="1" applyAlignment="1" applyProtection="0">
      <alignment vertical="top" wrapText="1"/>
    </xf>
    <xf numFmtId="49" fontId="11" fillId="13" borderId="27" applyNumberFormat="1" applyFont="1" applyFill="1" applyBorder="1" applyAlignment="1" applyProtection="0">
      <alignment vertical="top" wrapText="1"/>
    </xf>
    <xf numFmtId="49" fontId="8" fillId="13" borderId="6" applyNumberFormat="1" applyFont="1" applyFill="1" applyBorder="1" applyAlignment="1" applyProtection="0">
      <alignment vertical="top" wrapText="1"/>
    </xf>
    <xf numFmtId="49" fontId="11" fillId="7" borderId="16" applyNumberFormat="1" applyFont="1" applyFill="1" applyBorder="1" applyAlignment="1" applyProtection="0">
      <alignment vertical="top" wrapText="1"/>
    </xf>
    <xf numFmtId="49" fontId="8" fillId="14" borderId="6" applyNumberFormat="1" applyFont="1" applyFill="1" applyBorder="1" applyAlignment="1" applyProtection="0">
      <alignment vertical="top" wrapText="1"/>
    </xf>
    <xf numFmtId="49" fontId="11" fillId="13" borderId="16" applyNumberFormat="1" applyFont="1" applyFill="1" applyBorder="1" applyAlignment="1" applyProtection="0">
      <alignment vertical="top" wrapText="1"/>
    </xf>
    <xf numFmtId="49" fontId="11" fillId="4" borderId="16" applyNumberFormat="1" applyFont="1" applyFill="1" applyBorder="1" applyAlignment="1" applyProtection="0">
      <alignment vertical="top" wrapText="1"/>
    </xf>
    <xf numFmtId="49" fontId="8" fillId="4" borderId="6" applyNumberFormat="1" applyFont="1" applyFill="1" applyBorder="1" applyAlignment="1" applyProtection="0">
      <alignment vertical="top" wrapText="1"/>
    </xf>
    <xf numFmtId="49" fontId="11" fillId="4" borderId="29" applyNumberFormat="1" applyFont="1" applyFill="1" applyBorder="1" applyAlignment="1" applyProtection="0">
      <alignment vertical="top" wrapText="1"/>
    </xf>
    <xf numFmtId="0" fontId="0" fillId="4" applyNumberFormat="0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49" fontId="9" fillId="4" borderId="2" applyNumberFormat="1" applyFont="1" applyFill="1" applyBorder="1" applyAlignment="1" applyProtection="0">
      <alignment vertical="center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borderId="18" applyNumberFormat="0" applyFont="1" applyFill="1" applyBorder="1" applyAlignment="1" applyProtection="0">
      <alignment horizontal="center" vertical="center" wrapText="1"/>
    </xf>
    <xf numFmtId="49" fontId="0" fillId="4" borderId="18" applyNumberFormat="1" applyFont="1" applyFill="1" applyBorder="1" applyAlignment="1" applyProtection="0">
      <alignment horizontal="center" vertical="top" wrapText="1"/>
    </xf>
    <xf numFmtId="61" fontId="0" fillId="4" borderId="18" applyNumberFormat="1" applyFont="1" applyFill="1" applyBorder="1" applyAlignment="1" applyProtection="0">
      <alignment vertical="top" wrapText="1"/>
    </xf>
    <xf numFmtId="60" fontId="0" fillId="4" borderId="18" applyNumberFormat="1" applyFont="1" applyFill="1" applyBorder="1" applyAlignment="1" applyProtection="0">
      <alignment vertical="top" wrapText="1"/>
    </xf>
    <xf numFmtId="0" fontId="0" fillId="4" borderId="18" applyNumberFormat="1" applyFont="1" applyFill="1" applyBorder="1" applyAlignment="1" applyProtection="0">
      <alignment vertical="top" wrapText="1"/>
    </xf>
    <xf numFmtId="59" fontId="0" fillId="4" borderId="18" applyNumberFormat="1" applyFont="1" applyFill="1" applyBorder="1" applyAlignment="1" applyProtection="0">
      <alignment horizontal="right" vertical="top" wrapText="1"/>
    </xf>
    <xf numFmtId="59" fontId="0" fillId="4" borderId="18" applyNumberFormat="1" applyFont="1" applyFill="1" applyBorder="1" applyAlignment="1" applyProtection="0">
      <alignment vertical="top" wrapText="1"/>
    </xf>
    <xf numFmtId="62" fontId="0" fillId="4" borderId="18" applyNumberFormat="1" applyFont="1" applyFill="1" applyBorder="1" applyAlignment="1" applyProtection="0">
      <alignment horizontal="right" vertical="top" wrapText="1"/>
    </xf>
    <xf numFmtId="63" fontId="0" fillId="4" borderId="18" applyNumberFormat="1" applyFont="1" applyFill="1" applyBorder="1" applyAlignment="1" applyProtection="0">
      <alignment horizontal="center" vertical="center" wrapText="1"/>
    </xf>
    <xf numFmtId="1" fontId="0" fillId="4" borderId="18" applyNumberFormat="1" applyFont="1" applyFill="1" applyBorder="1" applyAlignment="1" applyProtection="0">
      <alignment horizontal="center" vertical="center" wrapText="1"/>
    </xf>
    <xf numFmtId="61" fontId="0" fillId="4" borderId="18" applyNumberFormat="1" applyFont="1" applyFill="1" applyBorder="1" applyAlignment="1" applyProtection="0">
      <alignment horizontal="center" vertical="center" wrapText="1"/>
    </xf>
    <xf numFmtId="61" fontId="0" fillId="4" borderId="19" applyNumberFormat="1" applyFont="1" applyFill="1" applyBorder="1" applyAlignment="1" applyProtection="0">
      <alignment horizontal="center" vertical="center" wrapText="1"/>
    </xf>
    <xf numFmtId="10" fontId="8" fillId="4" borderId="21" applyNumberFormat="1" applyFont="1" applyFill="1" applyBorder="1" applyAlignment="1" applyProtection="0">
      <alignment vertical="top" wrapText="1"/>
    </xf>
    <xf numFmtId="63" fontId="8" fillId="4" borderId="21" applyNumberFormat="1" applyFont="1" applyFill="1" applyBorder="1" applyAlignment="1" applyProtection="0">
      <alignment horizontal="center"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0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65" fontId="4" fillId="4" borderId="1" applyNumberFormat="1" applyFont="1" applyFill="1" applyBorder="1" applyAlignment="1" applyProtection="0">
      <alignment vertical="center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49" fontId="0" fillId="4" borderId="16" applyNumberFormat="1" applyFont="1" applyFill="1" applyBorder="1" applyAlignment="1" applyProtection="0">
      <alignment horizontal="center" vertical="top" wrapText="1"/>
    </xf>
    <xf numFmtId="66" fontId="0" fillId="4" borderId="16" applyNumberFormat="1" applyFont="1" applyFill="1" applyBorder="1" applyAlignment="1" applyProtection="0">
      <alignment vertical="top" wrapText="1"/>
    </xf>
    <xf numFmtId="65" fontId="0" fillId="4" borderId="16" applyNumberFormat="1" applyFont="1" applyFill="1" applyBorder="1" applyAlignment="1" applyProtection="0">
      <alignment vertical="top" wrapText="1"/>
    </xf>
    <xf numFmtId="63" fontId="0" fillId="4" borderId="16" applyNumberFormat="1" applyFont="1" applyFill="1" applyBorder="1" applyAlignment="1" applyProtection="0">
      <alignment horizontal="center" vertical="center" wrapText="1"/>
    </xf>
    <xf numFmtId="66" fontId="0" fillId="4" borderId="16" applyNumberFormat="1" applyFont="1" applyFill="1" applyBorder="1" applyAlignment="1" applyProtection="0">
      <alignment horizontal="center" vertical="center" wrapText="1"/>
    </xf>
    <xf numFmtId="1" fontId="0" fillId="4" borderId="16" applyNumberFormat="1" applyFont="1" applyFill="1" applyBorder="1" applyAlignment="1" applyProtection="0">
      <alignment horizontal="center" vertical="center" wrapText="1"/>
    </xf>
    <xf numFmtId="66" fontId="0" fillId="4" borderId="7" applyNumberFormat="1" applyFont="1" applyFill="1" applyBorder="1" applyAlignment="1" applyProtection="0">
      <alignment horizontal="center" vertical="center" wrapText="1"/>
    </xf>
    <xf numFmtId="0" fontId="0" fillId="7" borderId="16" applyNumberFormat="0" applyFont="1" applyFill="1" applyBorder="1" applyAlignment="1" applyProtection="0">
      <alignment horizontal="center" vertical="center" wrapText="1"/>
    </xf>
    <xf numFmtId="49" fontId="0" fillId="7" borderId="16" applyNumberFormat="1" applyFont="1" applyFill="1" applyBorder="1" applyAlignment="1" applyProtection="0">
      <alignment horizontal="center" vertical="top" wrapText="1"/>
    </xf>
    <xf numFmtId="66" fontId="0" fillId="7" borderId="16" applyNumberFormat="1" applyFont="1" applyFill="1" applyBorder="1" applyAlignment="1" applyProtection="0">
      <alignment vertical="top" wrapText="1"/>
    </xf>
    <xf numFmtId="60" fontId="0" fillId="7" borderId="16" applyNumberFormat="1" applyFont="1" applyFill="1" applyBorder="1" applyAlignment="1" applyProtection="0">
      <alignment vertical="top" wrapText="1"/>
    </xf>
    <xf numFmtId="0" fontId="0" fillId="7" borderId="16" applyNumberFormat="1" applyFont="1" applyFill="1" applyBorder="1" applyAlignment="1" applyProtection="0">
      <alignment vertical="top" wrapText="1"/>
    </xf>
    <xf numFmtId="59" fontId="0" fillId="7" borderId="16" applyNumberFormat="1" applyFont="1" applyFill="1" applyBorder="1" applyAlignment="1" applyProtection="0">
      <alignment horizontal="right" vertical="top" wrapText="1"/>
    </xf>
    <xf numFmtId="59" fontId="0" fillId="7" borderId="16" applyNumberFormat="1" applyFont="1" applyFill="1" applyBorder="1" applyAlignment="1" applyProtection="0">
      <alignment vertical="top" wrapText="1"/>
    </xf>
    <xf numFmtId="65" fontId="0" fillId="7" borderId="16" applyNumberFormat="1" applyFont="1" applyFill="1" applyBorder="1" applyAlignment="1" applyProtection="0">
      <alignment vertical="top" wrapText="1"/>
    </xf>
    <xf numFmtId="62" fontId="0" fillId="7" borderId="16" applyNumberFormat="1" applyFont="1" applyFill="1" applyBorder="1" applyAlignment="1" applyProtection="0">
      <alignment horizontal="right" vertical="top" wrapText="1"/>
    </xf>
    <xf numFmtId="63" fontId="0" fillId="7" borderId="16" applyNumberFormat="1" applyFont="1" applyFill="1" applyBorder="1" applyAlignment="1" applyProtection="0">
      <alignment horizontal="center" vertical="center" wrapText="1"/>
    </xf>
    <xf numFmtId="66" fontId="0" fillId="7" borderId="16" applyNumberFormat="1" applyFont="1" applyFill="1" applyBorder="1" applyAlignment="1" applyProtection="0">
      <alignment horizontal="center" vertical="center" wrapText="1"/>
    </xf>
    <xf numFmtId="61" fontId="0" fillId="7" borderId="16" applyNumberFormat="1" applyFont="1" applyFill="1" applyBorder="1" applyAlignment="1" applyProtection="0">
      <alignment vertical="top" wrapText="1"/>
    </xf>
    <xf numFmtId="1" fontId="0" fillId="7" borderId="16" applyNumberFormat="1" applyFont="1" applyFill="1" applyBorder="1" applyAlignment="1" applyProtection="0">
      <alignment horizontal="center" vertical="center" wrapText="1"/>
    </xf>
    <xf numFmtId="66" fontId="0" fillId="7" borderId="7" applyNumberFormat="1" applyFont="1" applyFill="1" applyBorder="1" applyAlignment="1" applyProtection="0">
      <alignment horizontal="center" vertical="center" wrapText="1"/>
    </xf>
    <xf numFmtId="49" fontId="0" fillId="7" borderId="16" applyNumberFormat="1" applyFont="1" applyFill="1" applyBorder="1" applyAlignment="1" applyProtection="0">
      <alignment horizontal="center" vertical="center" wrapText="1"/>
    </xf>
    <xf numFmtId="49" fontId="0" fillId="7" borderId="16" applyNumberFormat="1" applyFont="1" applyFill="1" applyBorder="1" applyAlignment="1" applyProtection="0">
      <alignment vertical="top" wrapText="1"/>
    </xf>
    <xf numFmtId="66" fontId="0" fillId="4" borderId="18" applyNumberFormat="1" applyFont="1" applyFill="1" applyBorder="1" applyAlignment="1" applyProtection="0">
      <alignment vertical="top" wrapText="1"/>
    </xf>
    <xf numFmtId="65" fontId="0" fillId="4" borderId="18" applyNumberFormat="1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66" fontId="0" fillId="4" borderId="18" applyNumberFormat="1" applyFont="1" applyFill="1" applyBorder="1" applyAlignment="1" applyProtection="0">
      <alignment horizontal="center" vertical="center" wrapText="1"/>
    </xf>
    <xf numFmtId="66" fontId="0" fillId="4" borderId="19" applyNumberFormat="1" applyFont="1" applyFill="1" applyBorder="1" applyAlignment="1" applyProtection="0">
      <alignment horizontal="center" vertical="center" wrapText="1"/>
    </xf>
    <xf numFmtId="65" fontId="8" fillId="4" borderId="21" applyNumberFormat="1" applyFont="1" applyFill="1" applyBorder="1" applyAlignment="1" applyProtection="0">
      <alignment vertical="top" wrapText="1"/>
    </xf>
    <xf numFmtId="66" fontId="8" fillId="4" borderId="21" applyNumberFormat="1" applyFont="1" applyFill="1" applyBorder="1" applyAlignment="1" applyProtection="0">
      <alignment vertical="top" wrapText="1"/>
    </xf>
    <xf numFmtId="1" fontId="8" fillId="4" borderId="21" applyNumberFormat="1" applyFont="1" applyFill="1" applyBorder="1" applyAlignment="1" applyProtection="0">
      <alignment vertical="top" wrapText="1"/>
    </xf>
    <xf numFmtId="66" fontId="8" fillId="4" borderId="22" applyNumberFormat="1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borderId="30" applyNumberFormat="1" applyFont="1" applyFill="1" applyBorder="1" applyAlignment="1" applyProtection="0">
      <alignment horizontal="center" vertical="top" wrapText="1"/>
    </xf>
    <xf numFmtId="0" fontId="0" fillId="4" applyNumberFormat="1" applyFont="1" applyFill="1" applyBorder="0" applyAlignment="1" applyProtection="0">
      <alignment vertical="top" wrapText="1"/>
    </xf>
    <xf numFmtId="0" fontId="8" fillId="12" borderId="24" applyNumberFormat="0" applyFont="1" applyFill="1" applyBorder="1" applyAlignment="1" applyProtection="0">
      <alignment horizontal="center" vertical="top" wrapText="1"/>
    </xf>
    <xf numFmtId="49" fontId="8" fillId="4" borderId="26" applyNumberFormat="1" applyFont="1" applyFill="1" applyBorder="1" applyAlignment="1" applyProtection="0">
      <alignment vertical="top" wrapText="1"/>
    </xf>
    <xf numFmtId="49" fontId="0" fillId="4" borderId="27" applyNumberFormat="1" applyFont="1" applyFill="1" applyBorder="1" applyAlignment="1" applyProtection="0">
      <alignment vertical="top" wrapText="1"/>
    </xf>
    <xf numFmtId="49" fontId="11" fillId="4" borderId="27" applyNumberFormat="1" applyFont="1" applyFill="1" applyBorder="1" applyAlignment="1" applyProtection="0">
      <alignment horizontal="center" vertical="top" wrapText="1"/>
    </xf>
    <xf numFmtId="49" fontId="0" fillId="4" borderId="28" applyNumberFormat="1" applyFont="1" applyFill="1" applyBorder="1" applyAlignment="1" applyProtection="0">
      <alignment vertical="top" wrapText="1"/>
    </xf>
    <xf numFmtId="0" fontId="11" fillId="7" borderId="16" applyNumberFormat="0" applyFont="1" applyFill="1" applyBorder="1" applyAlignment="1" applyProtection="0">
      <alignment horizontal="center" vertical="top" wrapText="1"/>
    </xf>
    <xf numFmtId="59" fontId="0" fillId="7" borderId="7" applyNumberFormat="1" applyFont="1" applyFill="1" applyBorder="1" applyAlignment="1" applyProtection="0">
      <alignment vertical="top" wrapText="1"/>
    </xf>
    <xf numFmtId="49" fontId="11" fillId="4" borderId="16" applyNumberFormat="1" applyFont="1" applyFill="1" applyBorder="1" applyAlignment="1" applyProtection="0">
      <alignment horizontal="center" vertical="top" wrapText="1"/>
    </xf>
    <xf numFmtId="63" fontId="0" fillId="4" borderId="16" applyNumberFormat="1" applyFont="1" applyFill="1" applyBorder="1" applyAlignment="1" applyProtection="0">
      <alignment vertical="top" wrapText="1"/>
    </xf>
    <xf numFmtId="59" fontId="0" fillId="4" borderId="7" applyNumberFormat="1" applyFont="1" applyFill="1" applyBorder="1" applyAlignment="1" applyProtection="0">
      <alignment vertical="top" wrapText="1"/>
    </xf>
    <xf numFmtId="0" fontId="11" fillId="4" borderId="16" applyNumberFormat="0" applyFont="1" applyFill="1" applyBorder="1" applyAlignment="1" applyProtection="0">
      <alignment horizontal="center" vertical="top" wrapText="1"/>
    </xf>
    <xf numFmtId="49" fontId="11" fillId="7" borderId="16" applyNumberFormat="1" applyFont="1" applyFill="1" applyBorder="1" applyAlignment="1" applyProtection="0">
      <alignment horizontal="center" vertical="top" wrapText="1"/>
    </xf>
    <xf numFmtId="67" fontId="0" fillId="7" borderId="16" applyNumberFormat="1" applyFont="1" applyFill="1" applyBorder="1" applyAlignment="1" applyProtection="0">
      <alignment vertical="top" wrapText="1"/>
    </xf>
    <xf numFmtId="67" fontId="0" fillId="4" borderId="16" applyNumberFormat="1" applyFont="1" applyFill="1" applyBorder="1" applyAlignment="1" applyProtection="0">
      <alignment vertical="top" wrapText="1"/>
    </xf>
    <xf numFmtId="49" fontId="11" fillId="7" borderId="16" applyNumberFormat="1" applyFont="1" applyFill="1" applyBorder="1" applyAlignment="1" applyProtection="0">
      <alignment horizontal="center" vertical="center" wrapText="1"/>
    </xf>
    <xf numFmtId="63" fontId="0" fillId="7" borderId="16" applyNumberFormat="1" applyFont="1" applyFill="1" applyBorder="1" applyAlignment="1" applyProtection="0">
      <alignment vertical="top" wrapText="1"/>
    </xf>
    <xf numFmtId="49" fontId="11" fillId="4" borderId="16" applyNumberFormat="1" applyFont="1" applyFill="1" applyBorder="1" applyAlignment="1" applyProtection="0">
      <alignment horizontal="center" vertical="center" wrapText="1"/>
    </xf>
    <xf numFmtId="49" fontId="8" fillId="4" borderId="8" applyNumberFormat="1" applyFont="1" applyFill="1" applyBorder="1" applyAlignment="1" applyProtection="0">
      <alignment vertical="top" wrapText="1"/>
    </xf>
    <xf numFmtId="59" fontId="0" fillId="4" borderId="29" applyNumberFormat="1" applyFont="1" applyFill="1" applyBorder="1" applyAlignment="1" applyProtection="0">
      <alignment vertical="top" wrapText="1"/>
    </xf>
    <xf numFmtId="0" fontId="11" fillId="4" borderId="29" applyNumberFormat="0" applyFont="1" applyFill="1" applyBorder="1" applyAlignment="1" applyProtection="0">
      <alignment horizontal="center" vertical="top" wrapText="1"/>
    </xf>
    <xf numFmtId="59" fontId="0" fillId="4" borderId="9" applyNumberFormat="1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0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68" fontId="0" fillId="4" borderId="16" applyNumberFormat="1" applyFont="1" applyFill="1" applyBorder="1" applyAlignment="1" applyProtection="0">
      <alignment vertical="top" wrapText="1"/>
    </xf>
    <xf numFmtId="68" fontId="0" fillId="7" borderId="16" applyNumberFormat="1" applyFont="1" applyFill="1" applyBorder="1" applyAlignment="1" applyProtection="0">
      <alignment vertical="top" wrapText="1"/>
    </xf>
    <xf numFmtId="61" fontId="0" fillId="7" borderId="16" applyNumberFormat="1" applyFont="1" applyFill="1" applyBorder="1" applyAlignment="1" applyProtection="0">
      <alignment horizontal="center" vertical="center" wrapText="1"/>
    </xf>
    <xf numFmtId="61" fontId="0" fillId="7" borderId="7" applyNumberFormat="1" applyFont="1" applyFill="1" applyBorder="1" applyAlignment="1" applyProtection="0">
      <alignment horizontal="center" vertical="center" wrapText="1"/>
    </xf>
    <xf numFmtId="68" fontId="0" fillId="4" borderId="18" applyNumberFormat="1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0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0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66" fontId="4" fillId="4" borderId="1" applyNumberFormat="1" applyFont="1" applyFill="1" applyBorder="1" applyAlignment="1" applyProtection="0">
      <alignment vertical="center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70" fontId="0" fillId="4" borderId="18" applyNumberFormat="1" applyFont="1" applyFill="1" applyBorder="1" applyAlignment="1" applyProtection="0">
      <alignment horizontal="center" vertical="center" wrapText="1"/>
    </xf>
    <xf numFmtId="70" fontId="8" fillId="4" borderId="21" applyNumberFormat="1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0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61" fontId="5" fillId="4" borderId="2" applyNumberFormat="1" applyFont="1" applyFill="1" applyBorder="1" applyAlignment="1" applyProtection="0">
      <alignment vertical="center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49" fontId="8" fillId="10" borderId="15" applyNumberFormat="1" applyFont="1" applyFill="1" applyBorder="1" applyAlignment="1" applyProtection="0">
      <alignment horizontal="center" vertical="top" wrapText="1"/>
    </xf>
    <xf numFmtId="49" fontId="0" fillId="4" borderId="16" applyNumberFormat="1" applyFont="1" applyFill="1" applyBorder="1" applyAlignment="1" applyProtection="0">
      <alignment horizontal="center" vertical="center" wrapText="1"/>
    </xf>
    <xf numFmtId="63" fontId="0" fillId="4" borderId="16" applyNumberFormat="1" applyFont="1" applyFill="1" applyBorder="1" applyAlignment="1" applyProtection="0">
      <alignment horizontal="center" vertical="top" wrapText="1"/>
    </xf>
    <xf numFmtId="0" fontId="0" fillId="4" borderId="16" applyNumberFormat="0" applyFont="1" applyFill="1" applyBorder="1" applyAlignment="1" applyProtection="0">
      <alignment horizontal="right" vertical="top" wrapText="1"/>
    </xf>
    <xf numFmtId="71" fontId="0" fillId="4" borderId="16" applyNumberFormat="1" applyFont="1" applyFill="1" applyBorder="1" applyAlignment="1" applyProtection="0">
      <alignment horizontal="center" vertical="center" wrapText="1"/>
    </xf>
    <xf numFmtId="10" fontId="0" fillId="4" borderId="16" applyNumberFormat="1" applyFont="1" applyFill="1" applyBorder="1" applyAlignment="1" applyProtection="0">
      <alignment horizontal="center" vertical="center" wrapText="1"/>
    </xf>
    <xf numFmtId="72" fontId="0" fillId="4" borderId="16" applyNumberFormat="1" applyFont="1" applyFill="1" applyBorder="1" applyAlignment="1" applyProtection="0">
      <alignment horizontal="center" vertical="center" wrapText="1"/>
    </xf>
    <xf numFmtId="59" fontId="0" fillId="4" borderId="16" applyNumberFormat="1" applyFont="1" applyFill="1" applyBorder="1" applyAlignment="1" applyProtection="0">
      <alignment horizontal="center" vertical="center" wrapText="1"/>
    </xf>
    <xf numFmtId="60" fontId="0" fillId="4" borderId="16" applyNumberFormat="1" applyFont="1" applyFill="1" applyBorder="1" applyAlignment="1" applyProtection="0">
      <alignment horizontal="center" vertical="center" wrapText="1"/>
    </xf>
    <xf numFmtId="60" fontId="0" fillId="4" borderId="7" applyNumberFormat="1" applyFont="1" applyFill="1" applyBorder="1" applyAlignment="1" applyProtection="0">
      <alignment horizontal="center" vertical="center" wrapText="1"/>
    </xf>
    <xf numFmtId="0" fontId="8" fillId="11" borderId="6" applyNumberFormat="0" applyFont="1" applyFill="1" applyBorder="1" applyAlignment="1" applyProtection="0">
      <alignment horizontal="center" vertical="center" wrapText="1"/>
    </xf>
    <xf numFmtId="0" fontId="0" fillId="7" borderId="16" applyNumberFormat="0" applyFont="1" applyFill="1" applyBorder="1" applyAlignment="1" applyProtection="0">
      <alignment horizontal="center" vertical="top" wrapText="1"/>
    </xf>
    <xf numFmtId="71" fontId="0" fillId="7" borderId="16" applyNumberFormat="1" applyFont="1" applyFill="1" applyBorder="1" applyAlignment="1" applyProtection="0">
      <alignment horizontal="center" vertical="center" wrapText="1"/>
    </xf>
    <xf numFmtId="10" fontId="0" fillId="7" borderId="16" applyNumberFormat="1" applyFont="1" applyFill="1" applyBorder="1" applyAlignment="1" applyProtection="0">
      <alignment horizontal="center" vertical="center" wrapText="1"/>
    </xf>
    <xf numFmtId="72" fontId="0" fillId="7" borderId="16" applyNumberFormat="1" applyFont="1" applyFill="1" applyBorder="1" applyAlignment="1" applyProtection="0">
      <alignment horizontal="center" vertical="center" wrapText="1"/>
    </xf>
    <xf numFmtId="59" fontId="0" fillId="7" borderId="16" applyNumberFormat="1" applyFont="1" applyFill="1" applyBorder="1" applyAlignment="1" applyProtection="0">
      <alignment horizontal="center" vertical="center" wrapText="1"/>
    </xf>
    <xf numFmtId="60" fontId="0" fillId="7" borderId="16" applyNumberFormat="1" applyFont="1" applyFill="1" applyBorder="1" applyAlignment="1" applyProtection="0">
      <alignment horizontal="center" vertical="center" wrapText="1"/>
    </xf>
    <xf numFmtId="60" fontId="0" fillId="7" borderId="7" applyNumberFormat="1" applyFont="1" applyFill="1" applyBorder="1" applyAlignment="1" applyProtection="0">
      <alignment horizontal="center" vertical="center" wrapText="1"/>
    </xf>
    <xf numFmtId="0" fontId="0" fillId="4" borderId="16" applyNumberFormat="0" applyFont="1" applyFill="1" applyBorder="1" applyAlignment="1" applyProtection="0">
      <alignment horizontal="center" vertical="top" wrapText="1"/>
    </xf>
    <xf numFmtId="0" fontId="0" fillId="4" borderId="7" applyNumberFormat="0" applyFont="1" applyFill="1" applyBorder="1" applyAlignment="1" applyProtection="0">
      <alignment horizontal="center" vertical="center" wrapText="1"/>
    </xf>
    <xf numFmtId="0" fontId="0" fillId="7" borderId="7" applyNumberFormat="0" applyFont="1" applyFill="1" applyBorder="1" applyAlignment="1" applyProtection="0">
      <alignment horizontal="center" vertical="center" wrapText="1"/>
    </xf>
    <xf numFmtId="0" fontId="8" fillId="11" borderId="17" applyNumberFormat="0" applyFont="1" applyFill="1" applyBorder="1" applyAlignment="1" applyProtection="0">
      <alignment horizontal="center" vertical="center" wrapText="1"/>
    </xf>
    <xf numFmtId="0" fontId="0" fillId="4" borderId="18" applyNumberFormat="0" applyFont="1" applyFill="1" applyBorder="1" applyAlignment="1" applyProtection="0">
      <alignment horizontal="center" vertical="top" wrapText="1"/>
    </xf>
    <xf numFmtId="71" fontId="0" fillId="4" borderId="18" applyNumberFormat="1" applyFont="1" applyFill="1" applyBorder="1" applyAlignment="1" applyProtection="0">
      <alignment horizontal="center" vertical="center" wrapText="1"/>
    </xf>
    <xf numFmtId="0" fontId="0" fillId="4" borderId="19" applyNumberFormat="0" applyFont="1" applyFill="1" applyBorder="1" applyAlignment="1" applyProtection="0">
      <alignment horizontal="center" vertical="center" wrapText="1"/>
    </xf>
    <xf numFmtId="60" fontId="8" fillId="4" borderId="21" applyNumberFormat="1" applyFont="1" applyFill="1" applyBorder="1" applyAlignment="1" applyProtection="0">
      <alignment vertical="top" wrapText="1"/>
    </xf>
    <xf numFmtId="60" fontId="8" fillId="4" borderId="22" applyNumberFormat="1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73" fontId="8" fillId="10" borderId="11" applyNumberFormat="1" applyFont="1" applyFill="1" applyBorder="1" applyAlignment="1" applyProtection="0">
      <alignment vertical="top" wrapText="1"/>
    </xf>
    <xf numFmtId="49" fontId="8" fillId="10" borderId="31" applyNumberFormat="1" applyFont="1" applyFill="1" applyBorder="1" applyAlignment="1" applyProtection="0">
      <alignment vertical="top" wrapText="1"/>
    </xf>
    <xf numFmtId="49" fontId="8" fillId="10" borderId="32" applyNumberFormat="1" applyFont="1" applyFill="1" applyBorder="1" applyAlignment="1" applyProtection="0">
      <alignment vertical="top" wrapText="1"/>
    </xf>
    <xf numFmtId="10" fontId="0" fillId="4" borderId="16" applyNumberFormat="1" applyFont="1" applyFill="1" applyBorder="1" applyAlignment="1" applyProtection="0">
      <alignment horizontal="center" vertical="top" wrapText="1"/>
    </xf>
    <xf numFmtId="73" fontId="0" fillId="4" borderId="16" applyNumberFormat="1" applyFont="1" applyFill="1" applyBorder="1" applyAlignment="1" applyProtection="0">
      <alignment vertical="top" wrapText="1"/>
    </xf>
    <xf numFmtId="71" fontId="0" fillId="4" borderId="16" applyNumberFormat="1" applyFont="1" applyFill="1" applyBorder="1" applyAlignment="1" applyProtection="0">
      <alignment vertical="top" wrapText="1"/>
    </xf>
    <xf numFmtId="61" fontId="0" fillId="4" borderId="7" applyNumberFormat="1" applyFont="1" applyFill="1" applyBorder="1" applyAlignment="1" applyProtection="0">
      <alignment vertical="top" wrapText="1"/>
    </xf>
    <xf numFmtId="0" fontId="0" fillId="4" borderId="32" applyNumberFormat="0" applyFont="1" applyFill="1" applyBorder="1" applyAlignment="1" applyProtection="0">
      <alignment vertical="top" wrapText="1"/>
    </xf>
    <xf numFmtId="62" fontId="0" fillId="4" borderId="32" applyNumberFormat="1" applyFont="1" applyFill="1" applyBorder="1" applyAlignment="1" applyProtection="0">
      <alignment horizontal="right" vertical="top" wrapText="1"/>
    </xf>
    <xf numFmtId="63" fontId="0" fillId="7" borderId="16" applyNumberFormat="1" applyFont="1" applyFill="1" applyBorder="1" applyAlignment="1" applyProtection="0">
      <alignment horizontal="center" vertical="top" wrapText="1"/>
    </xf>
    <xf numFmtId="0" fontId="0" fillId="7" borderId="16" applyNumberFormat="1" applyFont="1" applyFill="1" applyBorder="1" applyAlignment="1" applyProtection="0">
      <alignment horizontal="center" vertical="top" wrapText="1"/>
    </xf>
    <xf numFmtId="10" fontId="0" fillId="7" borderId="16" applyNumberFormat="1" applyFont="1" applyFill="1" applyBorder="1" applyAlignment="1" applyProtection="0">
      <alignment horizontal="center" vertical="top" wrapText="1"/>
    </xf>
    <xf numFmtId="73" fontId="0" fillId="7" borderId="16" applyNumberFormat="1" applyFont="1" applyFill="1" applyBorder="1" applyAlignment="1" applyProtection="0">
      <alignment vertical="top" wrapText="1"/>
    </xf>
    <xf numFmtId="71" fontId="0" fillId="7" borderId="16" applyNumberFormat="1" applyFont="1" applyFill="1" applyBorder="1" applyAlignment="1" applyProtection="0">
      <alignment vertical="top" wrapText="1"/>
    </xf>
    <xf numFmtId="61" fontId="0" fillId="7" borderId="7" applyNumberFormat="1" applyFont="1" applyFill="1" applyBorder="1" applyAlignment="1" applyProtection="0">
      <alignment vertical="top" wrapText="1"/>
    </xf>
    <xf numFmtId="0" fontId="0" fillId="7" borderId="32" applyNumberFormat="0" applyFont="1" applyFill="1" applyBorder="1" applyAlignment="1" applyProtection="0">
      <alignment vertical="top" wrapText="1"/>
    </xf>
    <xf numFmtId="62" fontId="0" fillId="7" borderId="32" applyNumberFormat="1" applyFont="1" applyFill="1" applyBorder="1" applyAlignment="1" applyProtection="0">
      <alignment horizontal="right" vertical="top" wrapText="1"/>
    </xf>
    <xf numFmtId="0" fontId="0" fillId="4" borderId="16" applyNumberFormat="1" applyFont="1" applyFill="1" applyBorder="1" applyAlignment="1" applyProtection="0">
      <alignment horizontal="center" vertical="top" wrapText="1"/>
    </xf>
    <xf numFmtId="0" fontId="0" fillId="7" borderId="18" applyNumberFormat="0" applyFont="1" applyFill="1" applyBorder="1" applyAlignment="1" applyProtection="0">
      <alignment horizontal="center" vertical="top" wrapText="1"/>
    </xf>
    <xf numFmtId="0" fontId="0" fillId="7" borderId="18" applyNumberFormat="1" applyFont="1" applyFill="1" applyBorder="1" applyAlignment="1" applyProtection="0">
      <alignment horizontal="center" vertical="top" wrapText="1"/>
    </xf>
    <xf numFmtId="10" fontId="0" fillId="7" borderId="18" applyNumberFormat="1" applyFont="1" applyFill="1" applyBorder="1" applyAlignment="1" applyProtection="0">
      <alignment horizontal="center" vertical="top" wrapText="1"/>
    </xf>
    <xf numFmtId="73" fontId="0" fillId="7" borderId="18" applyNumberFormat="1" applyFont="1" applyFill="1" applyBorder="1" applyAlignment="1" applyProtection="0">
      <alignment vertical="top" wrapText="1"/>
    </xf>
    <xf numFmtId="71" fontId="0" fillId="7" borderId="18" applyNumberFormat="1" applyFont="1" applyFill="1" applyBorder="1" applyAlignment="1" applyProtection="0">
      <alignment vertical="top" wrapText="1"/>
    </xf>
    <xf numFmtId="68" fontId="0" fillId="7" borderId="18" applyNumberFormat="1" applyFont="1" applyFill="1" applyBorder="1" applyAlignment="1" applyProtection="0">
      <alignment vertical="top" wrapText="1"/>
    </xf>
    <xf numFmtId="0" fontId="0" fillId="7" borderId="18" applyNumberFormat="0" applyFont="1" applyFill="1" applyBorder="1" applyAlignment="1" applyProtection="0">
      <alignment vertical="top" wrapText="1"/>
    </xf>
    <xf numFmtId="61" fontId="0" fillId="7" borderId="19" applyNumberFormat="1" applyFont="1" applyFill="1" applyBorder="1" applyAlignment="1" applyProtection="0">
      <alignment vertical="top" wrapText="1"/>
    </xf>
    <xf numFmtId="0" fontId="0" fillId="7" borderId="33" applyNumberFormat="0" applyFont="1" applyFill="1" applyBorder="1" applyAlignment="1" applyProtection="0">
      <alignment vertical="top" wrapText="1"/>
    </xf>
    <xf numFmtId="62" fontId="0" fillId="7" borderId="33" applyNumberFormat="1" applyFont="1" applyFill="1" applyBorder="1" applyAlignment="1" applyProtection="0">
      <alignment horizontal="right" vertical="top" wrapText="1"/>
    </xf>
    <xf numFmtId="59" fontId="8" fillId="4" borderId="22" applyNumberFormat="1" applyFont="1" applyFill="1" applyBorder="1" applyAlignment="1" applyProtection="0">
      <alignment vertical="top" wrapText="1"/>
    </xf>
    <xf numFmtId="0" fontId="8" fillId="4" borderId="34" applyNumberFormat="1" applyFont="1" applyFill="1" applyBorder="1" applyAlignment="1" applyProtection="0">
      <alignment horizontal="right" vertical="top" wrapText="1"/>
    </xf>
    <xf numFmtId="62" fontId="8" fillId="4" borderId="34" applyNumberFormat="1" applyFont="1" applyFill="1" applyBorder="1" applyAlignment="1" applyProtection="0">
      <alignment horizontal="right" vertical="top" wrapText="1"/>
    </xf>
    <xf numFmtId="0" fontId="0" fillId="4" applyNumberFormat="1" applyFont="1" applyFill="1" applyBorder="0" applyAlignment="1" applyProtection="0">
      <alignment vertical="top" wrapText="1"/>
    </xf>
    <xf numFmtId="63" fontId="0" fillId="7" borderId="29" applyNumberFormat="1" applyFont="1" applyFill="1" applyBorder="1" applyAlignment="1" applyProtection="0">
      <alignment vertical="top" wrapText="1"/>
    </xf>
    <xf numFmtId="0" fontId="0" fillId="7" borderId="29" applyNumberFormat="0" applyFont="1" applyFill="1" applyBorder="1" applyAlignment="1" applyProtection="0">
      <alignment vertical="top" wrapText="1"/>
    </xf>
    <xf numFmtId="0" fontId="0" fillId="7" borderId="9" applyNumberFormat="0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0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4" fillId="4" borderId="1" applyNumberFormat="0" applyFont="1" applyFill="1" applyBorder="1" applyAlignment="1" applyProtection="0">
      <alignment vertical="center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67" fontId="0" fillId="4" borderId="16" applyNumberFormat="1" applyFont="1" applyFill="1" applyBorder="1" applyAlignment="1" applyProtection="0">
      <alignment horizontal="center" vertical="top" wrapText="1"/>
    </xf>
    <xf numFmtId="67" fontId="0" fillId="7" borderId="16" applyNumberFormat="1" applyFont="1" applyFill="1" applyBorder="1" applyAlignment="1" applyProtection="0">
      <alignment horizontal="center" vertical="top" wrapText="1"/>
    </xf>
    <xf numFmtId="71" fontId="0" fillId="4" borderId="18" applyNumberFormat="1" applyFont="1" applyFill="1" applyBorder="1" applyAlignment="1" applyProtection="0">
      <alignment vertical="top" wrapText="1"/>
    </xf>
    <xf numFmtId="73" fontId="0" fillId="4" borderId="18" applyNumberFormat="1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49" fontId="8" fillId="11" borderId="35" applyNumberFormat="1" applyFont="1" applyFill="1" applyBorder="1" applyAlignment="1" applyProtection="0">
      <alignment horizontal="center" vertical="center" wrapText="1"/>
    </xf>
    <xf numFmtId="49" fontId="0" fillId="4" borderId="36" applyNumberFormat="1" applyFont="1" applyFill="1" applyBorder="1" applyAlignment="1" applyProtection="0">
      <alignment horizontal="center" vertical="center" wrapText="1"/>
    </xf>
    <xf numFmtId="67" fontId="0" fillId="4" borderId="36" applyNumberFormat="1" applyFont="1" applyFill="1" applyBorder="1" applyAlignment="1" applyProtection="0">
      <alignment horizontal="center" vertical="top" wrapText="1"/>
    </xf>
    <xf numFmtId="63" fontId="0" fillId="4" borderId="36" applyNumberFormat="1" applyFont="1" applyFill="1" applyBorder="1" applyAlignment="1" applyProtection="0">
      <alignment horizontal="center" vertical="top" wrapText="1"/>
    </xf>
    <xf numFmtId="49" fontId="0" fillId="4" borderId="36" applyNumberFormat="1" applyFont="1" applyFill="1" applyBorder="1" applyAlignment="1" applyProtection="0">
      <alignment horizontal="center" vertical="top" wrapText="1"/>
    </xf>
    <xf numFmtId="59" fontId="0" fillId="4" borderId="36" applyNumberFormat="1" applyFont="1" applyFill="1" applyBorder="1" applyAlignment="1" applyProtection="0">
      <alignment vertical="top" wrapText="1"/>
    </xf>
    <xf numFmtId="68" fontId="0" fillId="4" borderId="36" applyNumberFormat="1" applyFont="1" applyFill="1" applyBorder="1" applyAlignment="1" applyProtection="0">
      <alignment vertical="top" wrapText="1"/>
    </xf>
    <xf numFmtId="0" fontId="0" fillId="4" borderId="36" applyNumberFormat="1" applyFont="1" applyFill="1" applyBorder="1" applyAlignment="1" applyProtection="0">
      <alignment vertical="top" wrapText="1"/>
    </xf>
    <xf numFmtId="65" fontId="0" fillId="4" borderId="36" applyNumberFormat="1" applyFont="1" applyFill="1" applyBorder="1" applyAlignment="1" applyProtection="0">
      <alignment vertical="top" wrapText="1"/>
    </xf>
    <xf numFmtId="0" fontId="0" fillId="4" borderId="36" applyNumberFormat="0" applyFont="1" applyFill="1" applyBorder="1" applyAlignment="1" applyProtection="0">
      <alignment horizontal="center" vertical="center" wrapText="1"/>
    </xf>
    <xf numFmtId="66" fontId="0" fillId="4" borderId="36" applyNumberFormat="1" applyFont="1" applyFill="1" applyBorder="1" applyAlignment="1" applyProtection="0">
      <alignment horizontal="center" vertical="center" wrapText="1"/>
    </xf>
    <xf numFmtId="66" fontId="0" fillId="4" borderId="37" applyNumberFormat="1" applyFont="1" applyFill="1" applyBorder="1" applyAlignment="1" applyProtection="0">
      <alignment horizontal="center" vertical="center" wrapText="1"/>
    </xf>
    <xf numFmtId="49" fontId="8" fillId="15" borderId="38" applyNumberFormat="1" applyFont="1" applyFill="1" applyBorder="1" applyAlignment="1" applyProtection="0">
      <alignment horizontal="center" vertical="center" wrapText="1"/>
    </xf>
    <xf numFmtId="49" fontId="0" fillId="15" borderId="39" applyNumberFormat="1" applyFont="1" applyFill="1" applyBorder="1" applyAlignment="1" applyProtection="0">
      <alignment horizontal="center" vertical="center" wrapText="1"/>
    </xf>
    <xf numFmtId="0" fontId="0" fillId="15" borderId="39" applyNumberFormat="0" applyFont="1" applyFill="1" applyBorder="1" applyAlignment="1" applyProtection="0">
      <alignment horizontal="center" vertical="top" wrapText="1"/>
    </xf>
    <xf numFmtId="49" fontId="0" fillId="15" borderId="39" applyNumberFormat="1" applyFont="1" applyFill="1" applyBorder="1" applyAlignment="1" applyProtection="0">
      <alignment horizontal="center" vertical="top" wrapText="1"/>
    </xf>
    <xf numFmtId="59" fontId="0" fillId="15" borderId="39" applyNumberFormat="1" applyFont="1" applyFill="1" applyBorder="1" applyAlignment="1" applyProtection="0">
      <alignment vertical="top" wrapText="1"/>
    </xf>
    <xf numFmtId="68" fontId="0" fillId="15" borderId="39" applyNumberFormat="1" applyFont="1" applyFill="1" applyBorder="1" applyAlignment="1" applyProtection="0">
      <alignment vertical="top" wrapText="1"/>
    </xf>
    <xf numFmtId="0" fontId="0" fillId="15" borderId="39" applyNumberFormat="1" applyFont="1" applyFill="1" applyBorder="1" applyAlignment="1" applyProtection="0">
      <alignment vertical="top" wrapText="1"/>
    </xf>
    <xf numFmtId="65" fontId="0" fillId="15" borderId="39" applyNumberFormat="1" applyFont="1" applyFill="1" applyBorder="1" applyAlignment="1" applyProtection="0">
      <alignment vertical="top" wrapText="1"/>
    </xf>
    <xf numFmtId="0" fontId="0" fillId="15" borderId="39" applyNumberFormat="0" applyFont="1" applyFill="1" applyBorder="1" applyAlignment="1" applyProtection="0">
      <alignment horizontal="center" vertical="center" wrapText="1"/>
    </xf>
    <xf numFmtId="0" fontId="0" fillId="15" borderId="40" applyNumberFormat="0" applyFont="1" applyFill="1" applyBorder="1" applyAlignment="1" applyProtection="0">
      <alignment horizontal="center" vertical="center" wrapText="1"/>
    </xf>
    <xf numFmtId="49" fontId="8" fillId="11" borderId="41" applyNumberFormat="1" applyFont="1" applyFill="1" applyBorder="1" applyAlignment="1" applyProtection="0">
      <alignment horizontal="center" vertical="center" wrapText="1"/>
    </xf>
    <xf numFmtId="49" fontId="0" fillId="4" borderId="42" applyNumberFormat="1" applyFont="1" applyFill="1" applyBorder="1" applyAlignment="1" applyProtection="0">
      <alignment horizontal="center" vertical="center" wrapText="1"/>
    </xf>
    <xf numFmtId="67" fontId="0" fillId="4" borderId="42" applyNumberFormat="1" applyFont="1" applyFill="1" applyBorder="1" applyAlignment="1" applyProtection="0">
      <alignment horizontal="center" vertical="top" wrapText="1"/>
    </xf>
    <xf numFmtId="63" fontId="0" fillId="4" borderId="42" applyNumberFormat="1" applyFont="1" applyFill="1" applyBorder="1" applyAlignment="1" applyProtection="0">
      <alignment horizontal="center" vertical="top" wrapText="1"/>
    </xf>
    <xf numFmtId="49" fontId="0" fillId="4" borderId="42" applyNumberFormat="1" applyFont="1" applyFill="1" applyBorder="1" applyAlignment="1" applyProtection="0">
      <alignment horizontal="center" vertical="top" wrapText="1"/>
    </xf>
    <xf numFmtId="59" fontId="0" fillId="4" borderId="42" applyNumberFormat="1" applyFont="1" applyFill="1" applyBorder="1" applyAlignment="1" applyProtection="0">
      <alignment vertical="top" wrapText="1"/>
    </xf>
    <xf numFmtId="68" fontId="0" fillId="4" borderId="42" applyNumberFormat="1" applyFont="1" applyFill="1" applyBorder="1" applyAlignment="1" applyProtection="0">
      <alignment vertical="top" wrapText="1"/>
    </xf>
    <xf numFmtId="0" fontId="0" fillId="4" borderId="42" applyNumberFormat="1" applyFont="1" applyFill="1" applyBorder="1" applyAlignment="1" applyProtection="0">
      <alignment vertical="top" wrapText="1"/>
    </xf>
    <xf numFmtId="65" fontId="0" fillId="4" borderId="42" applyNumberFormat="1" applyFont="1" applyFill="1" applyBorder="1" applyAlignment="1" applyProtection="0">
      <alignment vertical="top" wrapText="1"/>
    </xf>
    <xf numFmtId="0" fontId="0" fillId="4" borderId="42" applyNumberFormat="0" applyFont="1" applyFill="1" applyBorder="1" applyAlignment="1" applyProtection="0">
      <alignment horizontal="center" vertical="center" wrapText="1"/>
    </xf>
    <xf numFmtId="0" fontId="0" fillId="4" borderId="43" applyNumberFormat="0" applyFont="1" applyFill="1" applyBorder="1" applyAlignment="1" applyProtection="0">
      <alignment horizontal="center" vertical="center" wrapText="1"/>
    </xf>
    <xf numFmtId="49" fontId="0" fillId="7" borderId="18" applyNumberFormat="1" applyFont="1" applyFill="1" applyBorder="1" applyAlignment="1" applyProtection="0">
      <alignment horizontal="center" vertical="center" wrapText="1"/>
    </xf>
    <xf numFmtId="67" fontId="0" fillId="7" borderId="18" applyNumberFormat="1" applyFont="1" applyFill="1" applyBorder="1" applyAlignment="1" applyProtection="0">
      <alignment horizontal="center" vertical="top" wrapText="1"/>
    </xf>
    <xf numFmtId="63" fontId="0" fillId="7" borderId="18" applyNumberFormat="1" applyFont="1" applyFill="1" applyBorder="1" applyAlignment="1" applyProtection="0">
      <alignment horizontal="center" vertical="top" wrapText="1"/>
    </xf>
    <xf numFmtId="49" fontId="0" fillId="7" borderId="18" applyNumberFormat="1" applyFont="1" applyFill="1" applyBorder="1" applyAlignment="1" applyProtection="0">
      <alignment horizontal="center" vertical="top" wrapText="1"/>
    </xf>
    <xf numFmtId="0" fontId="0" fillId="7" borderId="18" applyNumberFormat="1" applyFont="1" applyFill="1" applyBorder="1" applyAlignment="1" applyProtection="0">
      <alignment vertical="top" wrapText="1"/>
    </xf>
    <xf numFmtId="65" fontId="0" fillId="7" borderId="18" applyNumberFormat="1" applyFont="1" applyFill="1" applyBorder="1" applyAlignment="1" applyProtection="0">
      <alignment vertical="top" wrapText="1"/>
    </xf>
    <xf numFmtId="0" fontId="0" fillId="7" borderId="19" applyNumberFormat="0" applyFont="1" applyFill="1" applyBorder="1" applyAlignment="1" applyProtection="0">
      <alignment horizontal="center" vertical="center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0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8" fillId="11" borderId="17" applyNumberFormat="0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0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49" fontId="0" fillId="7" borderId="18" applyNumberFormat="1" applyFont="1" applyFill="1" applyBorder="1" applyAlignment="1" applyProtection="0">
      <alignment horizontal="center" vertical="top" wrapText="1" readingOrder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0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borderId="26" applyNumberFormat="0" applyFont="1" applyFill="1" applyBorder="1" applyAlignment="1" applyProtection="0">
      <alignment horizontal="center" vertical="top" wrapText="1"/>
    </xf>
    <xf numFmtId="49" fontId="0" fillId="4" borderId="27" applyNumberFormat="1" applyFont="1" applyFill="1" applyBorder="1" applyAlignment="1" applyProtection="0">
      <alignment horizontal="center" vertical="top" wrapText="1"/>
    </xf>
    <xf numFmtId="0" fontId="0" fillId="4" borderId="28" applyNumberFormat="0" applyFont="1" applyFill="1" applyBorder="1" applyAlignment="1" applyProtection="0">
      <alignment horizontal="center" vertical="top" wrapText="1"/>
    </xf>
    <xf numFmtId="0" fontId="0" fillId="7" borderId="6" applyNumberFormat="0" applyFont="1" applyFill="1" applyBorder="1" applyAlignment="1" applyProtection="0">
      <alignment vertical="top" wrapText="1"/>
    </xf>
    <xf numFmtId="49" fontId="0" fillId="7" borderId="7" applyNumberFormat="1" applyFont="1" applyFill="1" applyBorder="1" applyAlignment="1" applyProtection="0">
      <alignment horizontal="center" vertical="center" wrapText="1"/>
    </xf>
    <xf numFmtId="0" fontId="0" fillId="4" borderId="6" applyNumberFormat="0" applyFont="1" applyFill="1" applyBorder="1" applyAlignment="1" applyProtection="0">
      <alignment vertical="top" wrapText="1"/>
    </xf>
    <xf numFmtId="49" fontId="0" fillId="7" borderId="6" applyNumberFormat="1" applyFont="1" applyFill="1" applyBorder="1" applyAlignment="1" applyProtection="0">
      <alignment horizontal="center" vertical="top" wrapText="1"/>
    </xf>
    <xf numFmtId="60" fontId="0" fillId="7" borderId="16" applyNumberFormat="1" applyFont="1" applyFill="1" applyBorder="1" applyAlignment="1" applyProtection="0">
      <alignment horizontal="center" vertical="top" wrapText="1"/>
    </xf>
    <xf numFmtId="10" fontId="0" fillId="7" borderId="16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7" borderId="6" applyNumberFormat="1" applyFont="1" applyFill="1" applyBorder="1" applyAlignment="1" applyProtection="0">
      <alignment vertical="top" wrapText="1"/>
    </xf>
    <xf numFmtId="10" fontId="0" fillId="4" borderId="16" applyNumberFormat="1" applyFont="1" applyFill="1" applyBorder="1" applyAlignment="1" applyProtection="0">
      <alignment vertical="top" wrapText="1"/>
    </xf>
    <xf numFmtId="49" fontId="0" fillId="7" borderId="8" applyNumberFormat="1" applyFont="1" applyFill="1" applyBorder="1" applyAlignment="1" applyProtection="0">
      <alignment vertical="top" wrapText="1"/>
    </xf>
    <xf numFmtId="10" fontId="0" fillId="7" borderId="29" applyNumberFormat="1" applyFont="1" applyFill="1" applyBorder="1" applyAlignment="1" applyProtection="0">
      <alignment vertical="top" wrapText="1"/>
    </xf>
    <xf numFmtId="59" fontId="0" fillId="7" borderId="29" applyNumberFormat="1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63" fontId="0" fillId="15" borderId="16" applyNumberFormat="1" applyFont="1" applyFill="1" applyBorder="1" applyAlignment="1" applyProtection="0">
      <alignment vertical="top" wrapText="1"/>
    </xf>
    <xf numFmtId="0" fontId="0" fillId="15" borderId="16" applyNumberFormat="1" applyFont="1" applyFill="1" applyBorder="1" applyAlignment="1" applyProtection="0">
      <alignment vertical="top" wrapText="1"/>
    </xf>
    <xf numFmtId="59" fontId="0" fillId="15" borderId="16" applyNumberFormat="1" applyFont="1" applyFill="1" applyBorder="1" applyAlignment="1" applyProtection="0">
      <alignment vertical="top" wrapText="1"/>
    </xf>
    <xf numFmtId="49" fontId="0" fillId="15" borderId="16" applyNumberFormat="1" applyFont="1" applyFill="1" applyBorder="1" applyAlignment="1" applyProtection="0">
      <alignment vertical="top" wrapText="1"/>
    </xf>
    <xf numFmtId="60" fontId="0" fillId="15" borderId="16" applyNumberFormat="1" applyFont="1" applyFill="1" applyBorder="1" applyAlignment="1" applyProtection="0">
      <alignment vertical="top" wrapText="1"/>
    </xf>
    <xf numFmtId="10" fontId="0" fillId="15" borderId="16" applyNumberFormat="1" applyFont="1" applyFill="1" applyBorder="1" applyAlignment="1" applyProtection="0">
      <alignment vertical="top" wrapText="1"/>
    </xf>
    <xf numFmtId="59" fontId="0" fillId="15" borderId="7" applyNumberFormat="1" applyFont="1" applyFill="1" applyBorder="1" applyAlignment="1" applyProtection="0">
      <alignment vertical="top" wrapText="1"/>
    </xf>
    <xf numFmtId="49" fontId="0" fillId="4" borderId="16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49" fontId="8" fillId="11" borderId="17" applyNumberFormat="1" applyFont="1" applyFill="1" applyBorder="1" applyAlignment="1" applyProtection="0">
      <alignment horizontal="left" vertical="top" wrapText="1"/>
    </xf>
    <xf numFmtId="0" fontId="0" fillId="4" borderId="18" applyNumberFormat="0" applyFont="1" applyFill="1" applyBorder="1" applyAlignment="1" applyProtection="0">
      <alignment horizontal="left" vertical="top" wrapText="1"/>
    </xf>
    <xf numFmtId="74" fontId="0" fillId="4" borderId="18" applyNumberFormat="1" applyFont="1" applyFill="1" applyBorder="1" applyAlignment="1" applyProtection="0">
      <alignment horizontal="right" vertical="top" wrapText="1"/>
    </xf>
    <xf numFmtId="59" fontId="0" fillId="4" borderId="19" applyNumberFormat="1" applyFont="1" applyFill="1" applyBorder="1" applyAlignment="1" applyProtection="0">
      <alignment vertical="top" wrapText="1"/>
    </xf>
    <xf numFmtId="0" fontId="0" fillId="4" borderId="33" applyNumberFormat="0" applyFont="1" applyFill="1" applyBorder="1" applyAlignment="1" applyProtection="0">
      <alignment vertical="top" wrapText="1"/>
    </xf>
    <xf numFmtId="62" fontId="0" fillId="4" borderId="33" applyNumberFormat="1" applyFont="1" applyFill="1" applyBorder="1" applyAlignment="1" applyProtection="0">
      <alignment horizontal="right" vertical="top" wrapText="1"/>
    </xf>
    <xf numFmtId="0" fontId="8" fillId="4" borderId="44" applyNumberFormat="0" applyFont="1" applyFill="1" applyBorder="1" applyAlignment="1" applyProtection="0">
      <alignment vertical="top" wrapText="1"/>
    </xf>
    <xf numFmtId="0" fontId="8" fillId="4" borderId="45" applyNumberFormat="0" applyFont="1" applyFill="1" applyBorder="1" applyAlignment="1" applyProtection="0">
      <alignment vertical="top" wrapText="1"/>
    </xf>
    <xf numFmtId="0" fontId="8" fillId="4" borderId="45" applyNumberFormat="1" applyFont="1" applyFill="1" applyBorder="1" applyAlignment="1" applyProtection="0">
      <alignment vertical="top" wrapText="1"/>
    </xf>
    <xf numFmtId="0" fontId="8" fillId="4" borderId="45" applyNumberFormat="0" applyFont="1" applyFill="1" applyBorder="1" applyAlignment="1" applyProtection="0">
      <alignment horizontal="right" vertical="top" wrapText="1"/>
    </xf>
    <xf numFmtId="59" fontId="8" fillId="4" borderId="45" applyNumberFormat="1" applyFont="1" applyFill="1" applyBorder="1" applyAlignment="1" applyProtection="0">
      <alignment vertical="top" wrapText="1"/>
    </xf>
    <xf numFmtId="60" fontId="8" fillId="4" borderId="45" applyNumberFormat="1" applyFont="1" applyFill="1" applyBorder="1" applyAlignment="1" applyProtection="0">
      <alignment vertical="top" wrapText="1"/>
    </xf>
    <xf numFmtId="59" fontId="8" fillId="4" borderId="46" applyNumberFormat="1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49" fontId="8" fillId="12" borderId="25" applyNumberFormat="1" applyFont="1" applyFill="1" applyBorder="1" applyAlignment="1" applyProtection="0">
      <alignment vertical="top" wrapText="1"/>
    </xf>
    <xf numFmtId="59" fontId="0" fillId="4" borderId="27" applyNumberFormat="1" applyFont="1" applyFill="1" applyBorder="1" applyAlignment="1" applyProtection="0">
      <alignment vertical="top" wrapText="1"/>
    </xf>
    <xf numFmtId="60" fontId="0" fillId="4" borderId="28" applyNumberFormat="1" applyFont="1" applyFill="1" applyBorder="1" applyAlignment="1" applyProtection="0">
      <alignment vertical="top" wrapText="1"/>
    </xf>
    <xf numFmtId="60" fontId="0" fillId="7" borderId="7" applyNumberFormat="1" applyFont="1" applyFill="1" applyBorder="1" applyAlignment="1" applyProtection="0">
      <alignment vertical="top" wrapText="1"/>
    </xf>
    <xf numFmtId="60" fontId="0" fillId="4" borderId="7" applyNumberFormat="1" applyFont="1" applyFill="1" applyBorder="1" applyAlignment="1" applyProtection="0">
      <alignment vertical="top" wrapText="1"/>
    </xf>
    <xf numFmtId="59" fontId="0" fillId="7" borderId="47" applyNumberFormat="1" applyFont="1" applyFill="1" applyBorder="1" applyAlignment="1" applyProtection="0">
      <alignment vertical="top" wrapText="1"/>
    </xf>
    <xf numFmtId="60" fontId="0" fillId="7" borderId="48" applyNumberFormat="1" applyFont="1" applyFill="1" applyBorder="1" applyAlignment="1" applyProtection="0">
      <alignment vertical="top" wrapText="1"/>
    </xf>
    <xf numFmtId="59" fontId="0" fillId="4" borderId="49" applyNumberFormat="1" applyFont="1" applyFill="1" applyBorder="1" applyAlignment="1" applyProtection="0">
      <alignment vertical="top" wrapText="1"/>
    </xf>
    <xf numFmtId="49" fontId="11" fillId="4" borderId="50" applyNumberFormat="1" applyFont="1" applyFill="1" applyBorder="1" applyAlignment="1" applyProtection="0">
      <alignment vertical="top" wrapText="1"/>
    </xf>
    <xf numFmtId="0" fontId="11" fillId="16" borderId="50" applyNumberFormat="0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49" fontId="8" fillId="12" borderId="23" applyNumberFormat="1" applyFont="1" applyFill="1" applyBorder="1" applyAlignment="1" applyProtection="0">
      <alignment horizontal="center" vertical="top" wrapText="1"/>
    </xf>
    <xf numFmtId="49" fontId="8" fillId="4" borderId="26" applyNumberFormat="1" applyFont="1" applyFill="1" applyBorder="1" applyAlignment="1" applyProtection="0">
      <alignment horizontal="center" vertical="top" wrapText="1"/>
    </xf>
    <xf numFmtId="49" fontId="0" fillId="4" borderId="28" applyNumberFormat="1" applyFont="1" applyFill="1" applyBorder="1" applyAlignment="1" applyProtection="0">
      <alignment horizontal="center" vertical="top" wrapText="1"/>
    </xf>
    <xf numFmtId="0" fontId="13" fillId="4" borderId="6" applyNumberFormat="0" applyFont="1" applyFill="1" applyBorder="1" applyAlignment="1" applyProtection="0">
      <alignment horizontal="center" vertical="top" wrapText="1"/>
    </xf>
    <xf numFmtId="0" fontId="8" fillId="4" borderId="8" applyNumberFormat="0" applyFont="1" applyFill="1" applyBorder="1" applyAlignment="1" applyProtection="0">
      <alignment horizontal="center" vertical="top" wrapText="1"/>
    </xf>
    <xf numFmtId="49" fontId="0" fillId="7" borderId="29" applyNumberFormat="1" applyFont="1" applyFill="1" applyBorder="1" applyAlignment="1" applyProtection="0">
      <alignment vertical="top" wrapText="1"/>
    </xf>
    <xf numFmtId="59" fontId="0" fillId="7" borderId="9" applyNumberFormat="1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49" fontId="0" fillId="4" borderId="26" applyNumberFormat="1" applyFont="1" applyFill="1" applyBorder="1" applyAlignment="1" applyProtection="0">
      <alignment vertical="top" wrapText="1"/>
    </xf>
    <xf numFmtId="60" fontId="0" fillId="4" borderId="27" applyNumberFormat="1" applyFont="1" applyFill="1" applyBorder="1" applyAlignment="1" applyProtection="0">
      <alignment vertical="top" wrapText="1"/>
    </xf>
    <xf numFmtId="59" fontId="0" fillId="4" borderId="28" applyNumberFormat="1" applyFont="1" applyFill="1" applyBorder="1" applyAlignment="1" applyProtection="0">
      <alignment vertical="top" wrapText="1"/>
    </xf>
    <xf numFmtId="69" fontId="0" fillId="7" borderId="29" applyNumberFormat="1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9" fontId="0" fillId="4" borderId="51" applyNumberFormat="1" applyFont="1" applyFill="1" applyBorder="1" applyAlignment="1" applyProtection="0">
      <alignment vertical="top" wrapText="1"/>
    </xf>
    <xf numFmtId="0" fontId="8" fillId="7" borderId="6" applyNumberFormat="0" applyFont="1" applyFill="1" applyBorder="1" applyAlignment="1" applyProtection="0">
      <alignment horizontal="center" vertical="top" wrapText="1"/>
    </xf>
    <xf numFmtId="49" fontId="0" fillId="4" borderId="29" applyNumberFormat="1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49" fontId="0" fillId="4" borderId="51" applyNumberFormat="1" applyFont="1" applyFill="1" applyBorder="1" applyAlignment="1" applyProtection="0">
      <alignment horizontal="center" vertical="top" wrapText="1"/>
    </xf>
    <xf numFmtId="0" fontId="8" fillId="4" borderId="6" applyNumberFormat="0" applyFont="1" applyFill="1" applyBorder="1" applyAlignment="1" applyProtection="0">
      <alignment horizontal="center" vertical="top" wrapText="1"/>
    </xf>
    <xf numFmtId="69" fontId="0" fillId="4" borderId="29" applyNumberFormat="1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60" fontId="0" fillId="4" borderId="29" applyNumberFormat="1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8" fillId="13" borderId="6" applyNumberFormat="0" applyFont="1" applyFill="1" applyBorder="1" applyAlignment="1" applyProtection="0">
      <alignment horizontal="center" vertical="top" wrapText="1"/>
    </xf>
    <xf numFmtId="0" fontId="0" fillId="4" applyNumberFormat="1" applyFont="1" applyFill="1" applyBorder="0" applyAlignment="1" applyProtection="0">
      <alignment vertical="top" wrapText="1"/>
    </xf>
    <xf numFmtId="0" fontId="8" fillId="7" borderId="8" applyNumberFormat="0" applyFont="1" applyFill="1" applyBorder="1" applyAlignment="1" applyProtection="0">
      <alignment horizontal="center" vertical="top" wrapText="1"/>
    </xf>
    <xf numFmtId="60" fontId="0" fillId="7" borderId="29" applyNumberFormat="1" applyFont="1" applyFill="1" applyBorder="1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0" fontId="0" fillId="4" applyNumberFormat="1" applyFont="1" applyFill="1" applyBorder="0" applyAlignment="1" applyProtection="0">
      <alignment vertical="top" wrapText="1"/>
    </xf>
    <xf numFmtId="10" fontId="0" fillId="4" borderId="16" applyNumberFormat="1" applyFont="1" applyFill="1" applyBorder="1" applyAlignment="1" applyProtection="0">
      <alignment horizontal="right" vertical="top" wrapText="1"/>
    </xf>
    <xf numFmtId="0" fontId="0" fillId="4" applyNumberFormat="0" applyFont="1" applyFill="1" applyBorder="0" applyAlignment="1" applyProtection="0">
      <alignment vertical="top" wrapText="1"/>
    </xf>
  </cellXfs>
  <cellStyles count="1">
    <cellStyle name="Normal" xfId="0" builtinId="0"/>
  </cellStyles>
  <dxfs count="206">
    <dxf>
      <font>
        <color rgb="ff669c34"/>
      </font>
    </dxf>
    <dxf>
      <font>
        <color rgb="ffe32300"/>
      </font>
    </dxf>
    <dxf>
      <font>
        <color rgb="ff669c34"/>
      </font>
    </dxf>
    <dxf>
      <font>
        <color rgb="ffe32300"/>
      </font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color rgb="ff669c34"/>
      </font>
    </dxf>
    <dxf>
      <font>
        <color rgb="ffe32300"/>
      </font>
    </dxf>
    <dxf>
      <font>
        <color rgb="ff669c34"/>
      </font>
    </dxf>
    <dxf>
      <font>
        <color rgb="ffe32300"/>
      </font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color rgb="ff669c34"/>
      </font>
    </dxf>
    <dxf>
      <font>
        <color rgb="ffe32300"/>
      </font>
    </dxf>
    <dxf>
      <font>
        <color rgb="ff669c34"/>
      </font>
    </dxf>
    <dxf>
      <font>
        <color rgb="ffe32300"/>
      </font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color rgb="ff669c34"/>
      </font>
    </dxf>
    <dxf>
      <font>
        <color rgb="ffe32300"/>
      </font>
    </dxf>
    <dxf>
      <font>
        <color rgb="ff669c34"/>
      </font>
    </dxf>
    <dxf>
      <font>
        <color rgb="ffe32300"/>
      </font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color rgb="ff669c34"/>
      </font>
    </dxf>
    <dxf>
      <font>
        <color rgb="ffe32300"/>
      </font>
    </dxf>
    <dxf>
      <font>
        <color rgb="ff669c34"/>
      </font>
    </dxf>
    <dxf>
      <font>
        <color rgb="ffe32300"/>
      </font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color rgb="ff669c34"/>
      </font>
    </dxf>
    <dxf>
      <font>
        <color rgb="ffe32300"/>
      </font>
    </dxf>
    <dxf>
      <font>
        <color rgb="ff669c34"/>
      </font>
    </dxf>
    <dxf>
      <font>
        <color rgb="ffe32300"/>
      </font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color rgb="ff669c34"/>
      </font>
    </dxf>
    <dxf>
      <font>
        <color rgb="ffe32300"/>
      </font>
    </dxf>
    <dxf>
      <font>
        <color rgb="ff669c34"/>
      </font>
    </dxf>
    <dxf>
      <font>
        <color rgb="ffe32300"/>
      </font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color rgb="ff669c34"/>
      </font>
    </dxf>
    <dxf>
      <font>
        <color rgb="ffe32300"/>
      </font>
    </dxf>
    <dxf>
      <font>
        <color rgb="ff669c34"/>
      </font>
    </dxf>
    <dxf>
      <font>
        <color rgb="ffe32300"/>
      </font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color rgb="ff669c34"/>
      </font>
    </dxf>
    <dxf>
      <font>
        <color rgb="ffe32300"/>
      </font>
    </dxf>
    <dxf>
      <font>
        <color rgb="ff669c34"/>
      </font>
    </dxf>
    <dxf>
      <font>
        <color rgb="ffe32300"/>
      </font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color rgb="ff669c34"/>
      </font>
    </dxf>
    <dxf>
      <font>
        <color rgb="ffe32300"/>
      </font>
    </dxf>
    <dxf>
      <font>
        <color rgb="ff669c34"/>
      </font>
    </dxf>
    <dxf>
      <font>
        <color rgb="ffe32300"/>
      </font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27"/>
        </patternFill>
      </fill>
    </dxf>
    <dxf>
      <font>
        <b val="1"/>
        <color rgb="ff000000"/>
      </font>
      <fill>
        <patternFill patternType="solid">
          <fgColor indexed="25"/>
          <bgColor indexed="28"/>
        </patternFill>
      </fill>
    </dxf>
    <dxf>
      <font>
        <b val="1"/>
        <color rgb="ff000000"/>
      </font>
      <fill>
        <patternFill patternType="solid">
          <fgColor indexed="25"/>
          <bgColor indexed="29"/>
        </patternFill>
      </fill>
    </dxf>
    <dxf>
      <font>
        <b val="1"/>
        <color rgb="ff000000"/>
      </font>
      <fill>
        <patternFill patternType="solid">
          <fgColor indexed="25"/>
          <bgColor indexed="26"/>
        </patternFill>
      </fill>
    </dxf>
    <dxf>
      <font>
        <b val="1"/>
        <color rgb="ff000000"/>
      </font>
      <fill>
        <patternFill patternType="solid">
          <fgColor indexed="25"/>
          <bgColor indexed="41"/>
        </patternFill>
      </fill>
    </dxf>
    <dxf>
      <font>
        <b val="1"/>
        <color rgb="ff000000"/>
      </font>
      <fill>
        <patternFill patternType="solid">
          <fgColor indexed="25"/>
          <bgColor indexed="42"/>
        </patternFill>
      </fill>
    </dxf>
    <dxf>
      <font>
        <b val="1"/>
        <color rgb="ff000000"/>
      </font>
      <fill>
        <patternFill patternType="solid">
          <fgColor indexed="25"/>
          <bgColor indexed="43"/>
        </patternFill>
      </fill>
    </dxf>
    <dxf>
      <font>
        <color rgb="ff000000"/>
      </font>
      <fill>
        <patternFill patternType="solid">
          <fgColor indexed="25"/>
          <bgColor indexed="42"/>
        </patternFill>
      </fill>
    </dxf>
    <dxf>
      <font>
        <color rgb="ff000000"/>
      </font>
      <fill>
        <patternFill patternType="solid">
          <fgColor indexed="25"/>
          <bgColor indexed="41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bef"/>
      <rgbColor rgb="ffcccac6"/>
      <rgbColor rgb="ff669c34"/>
      <rgbColor rgb="ffe32300"/>
      <rgbColor rgb="fffefb00"/>
      <rgbColor rgb="ffb3afaa"/>
      <rgbColor rgb="ffff2600"/>
      <rgbColor rgb="fff0ebe2"/>
      <rgbColor rgb="ff00f900"/>
      <rgbColor rgb="ff0432ff"/>
      <rgbColor rgb="ff90be72"/>
      <rgbColor rgb="ffe4e2de"/>
      <rgbColor rgb="ff0a0a0a"/>
      <rgbColor rgb="00000000"/>
      <rgbColor rgb="e5fffc98"/>
      <rgbColor rgb="fff43630"/>
      <rgbColor rgb="ffb3e095"/>
      <rgbColor rgb="ff53badf"/>
      <rgbColor rgb="ff9a958e"/>
      <rgbColor rgb="ffe6e2df"/>
      <rgbColor rgb="ffff4641"/>
      <rgbColor rgb="ff494a49"/>
      <rgbColor rgb="ffffffff"/>
      <rgbColor rgb="ffb8b8b8"/>
      <rgbColor rgb="fff64f4a"/>
      <rgbColor rgb="ffffe9a6"/>
      <rgbColor rgb="ffffd34d"/>
      <rgbColor rgb="ffffde79"/>
      <rgbColor rgb="ff91be72"/>
      <rgbColor rgb="e5ff9781"/>
      <rgbColor rgb="e5afe489"/>
      <rgbColor rgb="e588ccff"/>
      <rgbColor rgb="ff90be71"/>
      <rgbColor rgb="ff217aaf"/>
      <rgbColor rgb="ff16ff13"/>
      <rgbColor rgb="ff8b1fcf"/>
      <rgbColor rgb="ffffc400"/>
      <rgbColor rgb="fff52720"/>
      <rgbColor rgb="ff9fa483"/>
      <rgbColor rgb="fffff414"/>
      <rgbColor rgb="ff303eff"/>
      <rgbColor rgb="ff00ad2c"/>
      <rgbColor rgb="ff504615"/>
      <rgbColor rgb="fff0d2f6"/>
      <rgbColor rgb="ff2e578b"/>
      <rgbColor rgb="ff5d9548"/>
      <rgbColor rgb="ffe7a03c"/>
      <rgbColor rgb="ffbc2c2f"/>
      <rgbColor rgb="ff6f3c78"/>
      <rgbColor rgb="ff7c7f7e"/>
      <rgbColor rgb="ff5dcc11"/>
      <rgbColor rgb="ff2993e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Relationship Id="rId33" Type="http://schemas.openxmlformats.org/officeDocument/2006/relationships/worksheet" Target="worksheets/sheet29.xml"/><Relationship Id="rId34" Type="http://schemas.openxmlformats.org/officeDocument/2006/relationships/worksheet" Target="worksheets/sheet30.xml"/><Relationship Id="rId35" Type="http://schemas.openxmlformats.org/officeDocument/2006/relationships/worksheet" Target="worksheets/sheet31.xml"/><Relationship Id="rId36" Type="http://schemas.openxmlformats.org/officeDocument/2006/relationships/worksheet" Target="worksheets/sheet32.xml"/><Relationship Id="rId37" Type="http://schemas.openxmlformats.org/officeDocument/2006/relationships/worksheet" Target="worksheets/sheet33.xml"/><Relationship Id="rId38" Type="http://schemas.openxmlformats.org/officeDocument/2006/relationships/worksheet" Target="worksheets/sheet34.xml"/><Relationship Id="rId39" Type="http://schemas.openxmlformats.org/officeDocument/2006/relationships/worksheet" Target="worksheets/sheet35.xml"/><Relationship Id="rId40" Type="http://schemas.openxmlformats.org/officeDocument/2006/relationships/worksheet" Target="worksheets/sheet36.xml"/><Relationship Id="rId41" Type="http://schemas.openxmlformats.org/officeDocument/2006/relationships/worksheet" Target="worksheets/sheet37.xml"/><Relationship Id="rId42" Type="http://schemas.openxmlformats.org/officeDocument/2006/relationships/worksheet" Target="worksheets/sheet38.xml"/><Relationship Id="rId43" Type="http://schemas.openxmlformats.org/officeDocument/2006/relationships/worksheet" Target="worksheets/sheet39.xml"/><Relationship Id="rId44" Type="http://schemas.openxmlformats.org/officeDocument/2006/relationships/worksheet" Target="worksheets/sheet40.xml"/><Relationship Id="rId45" Type="http://schemas.openxmlformats.org/officeDocument/2006/relationships/worksheet" Target="worksheets/sheet41.xml"/><Relationship Id="rId46" Type="http://schemas.openxmlformats.org/officeDocument/2006/relationships/worksheet" Target="worksheets/sheet42.xml"/><Relationship Id="rId47" Type="http://schemas.openxmlformats.org/officeDocument/2006/relationships/worksheet" Target="worksheets/sheet43.xml"/><Relationship Id="rId48" Type="http://schemas.openxmlformats.org/officeDocument/2006/relationships/worksheet" Target="worksheets/sheet44.xml"/><Relationship Id="rId49" Type="http://schemas.openxmlformats.org/officeDocument/2006/relationships/worksheet" Target="worksheets/sheet45.xml"/><Relationship Id="rId50" Type="http://schemas.openxmlformats.org/officeDocument/2006/relationships/worksheet" Target="worksheets/sheet46.xml"/><Relationship Id="rId51" Type="http://schemas.openxmlformats.org/officeDocument/2006/relationships/worksheet" Target="worksheets/sheet47.xml"/><Relationship Id="rId52" Type="http://schemas.openxmlformats.org/officeDocument/2006/relationships/worksheet" Target="worksheets/sheet48.xml"/><Relationship Id="rId53" Type="http://schemas.openxmlformats.org/officeDocument/2006/relationships/worksheet" Target="worksheets/sheet49.xml"/><Relationship Id="rId54" Type="http://schemas.openxmlformats.org/officeDocument/2006/relationships/worksheet" Target="worksheets/sheet50.xml"/><Relationship Id="rId55" Type="http://schemas.openxmlformats.org/officeDocument/2006/relationships/worksheet" Target="worksheets/sheet51.xml"/><Relationship Id="rId56" Type="http://schemas.openxmlformats.org/officeDocument/2006/relationships/worksheet" Target="worksheets/sheet52.xml"/><Relationship Id="rId57" Type="http://schemas.openxmlformats.org/officeDocument/2006/relationships/worksheet" Target="worksheets/sheet53.xml"/><Relationship Id="rId58" Type="http://schemas.openxmlformats.org/officeDocument/2006/relationships/worksheet" Target="worksheets/sheet54.xml"/><Relationship Id="rId59" Type="http://schemas.openxmlformats.org/officeDocument/2006/relationships/worksheet" Target="worksheets/sheet55.xml"/><Relationship Id="rId60" Type="http://schemas.openxmlformats.org/officeDocument/2006/relationships/worksheet" Target="worksheets/sheet56.xml"/><Relationship Id="rId61" Type="http://schemas.openxmlformats.org/officeDocument/2006/relationships/worksheet" Target="worksheets/sheet57.xml"/><Relationship Id="rId62" Type="http://schemas.openxmlformats.org/officeDocument/2006/relationships/worksheet" Target="worksheets/sheet58.xml"/><Relationship Id="rId63" Type="http://schemas.openxmlformats.org/officeDocument/2006/relationships/worksheet" Target="worksheets/sheet59.xml"/><Relationship Id="rId64" Type="http://schemas.openxmlformats.org/officeDocument/2006/relationships/worksheet" Target="worksheets/sheet60.xml"/><Relationship Id="rId65" Type="http://schemas.openxmlformats.org/officeDocument/2006/relationships/worksheet" Target="worksheets/sheet61.xml"/><Relationship Id="rId66" Type="http://schemas.openxmlformats.org/officeDocument/2006/relationships/worksheet" Target="worksheets/sheet62.xml"/><Relationship Id="rId67" Type="http://schemas.openxmlformats.org/officeDocument/2006/relationships/worksheet" Target="worksheets/sheet63.xml"/><Relationship Id="rId68" Type="http://schemas.openxmlformats.org/officeDocument/2006/relationships/worksheet" Target="worksheets/sheet64.xml"/><Relationship Id="rId69" Type="http://schemas.openxmlformats.org/officeDocument/2006/relationships/worksheet" Target="worksheets/sheet65.xml"/><Relationship Id="rId70" Type="http://schemas.openxmlformats.org/officeDocument/2006/relationships/worksheet" Target="worksheets/sheet66.xml"/><Relationship Id="rId71" Type="http://schemas.openxmlformats.org/officeDocument/2006/relationships/worksheet" Target="worksheets/sheet67.xml"/><Relationship Id="rId72" Type="http://schemas.openxmlformats.org/officeDocument/2006/relationships/worksheet" Target="worksheets/sheet68.xml"/><Relationship Id="rId73" Type="http://schemas.openxmlformats.org/officeDocument/2006/relationships/worksheet" Target="worksheets/sheet69.xml"/><Relationship Id="rId74" Type="http://schemas.openxmlformats.org/officeDocument/2006/relationships/worksheet" Target="worksheets/sheet70.xml"/><Relationship Id="rId75" Type="http://schemas.openxmlformats.org/officeDocument/2006/relationships/worksheet" Target="worksheets/sheet71.xml"/><Relationship Id="rId76" Type="http://schemas.openxmlformats.org/officeDocument/2006/relationships/worksheet" Target="worksheets/sheet72.xml"/><Relationship Id="rId77" Type="http://schemas.openxmlformats.org/officeDocument/2006/relationships/worksheet" Target="worksheets/sheet73.xml"/><Relationship Id="rId78" Type="http://schemas.openxmlformats.org/officeDocument/2006/relationships/worksheet" Target="worksheets/sheet74.xml"/><Relationship Id="rId79" Type="http://schemas.openxmlformats.org/officeDocument/2006/relationships/worksheet" Target="worksheets/sheet75.xml"/><Relationship Id="rId80" Type="http://schemas.openxmlformats.org/officeDocument/2006/relationships/worksheet" Target="worksheets/sheet76.xml"/><Relationship Id="rId81" Type="http://schemas.openxmlformats.org/officeDocument/2006/relationships/worksheet" Target="worksheets/sheet77.xml"/><Relationship Id="rId82" Type="http://schemas.openxmlformats.org/officeDocument/2006/relationships/worksheet" Target="worksheets/sheet78.xml"/><Relationship Id="rId83" Type="http://schemas.openxmlformats.org/officeDocument/2006/relationships/worksheet" Target="worksheets/sheet79.xml"/><Relationship Id="rId84" Type="http://schemas.openxmlformats.org/officeDocument/2006/relationships/worksheet" Target="worksheets/sheet80.xml"/><Relationship Id="rId85" Type="http://schemas.openxmlformats.org/officeDocument/2006/relationships/worksheet" Target="worksheets/sheet81.xml"/><Relationship Id="rId86" Type="http://schemas.openxmlformats.org/officeDocument/2006/relationships/worksheet" Target="worksheets/sheet82.xml"/><Relationship Id="rId87" Type="http://schemas.openxmlformats.org/officeDocument/2006/relationships/worksheet" Target="worksheets/sheet83.xml"/><Relationship Id="rId88" Type="http://schemas.openxmlformats.org/officeDocument/2006/relationships/worksheet" Target="worksheets/sheet84.xml"/><Relationship Id="rId89" Type="http://schemas.openxmlformats.org/officeDocument/2006/relationships/worksheet" Target="worksheets/sheet85.xml"/><Relationship Id="rId90" Type="http://schemas.openxmlformats.org/officeDocument/2006/relationships/worksheet" Target="worksheets/sheet86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Avenir Next Regular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Avenir Next Regular"/>
              </a:rPr>
              <a:t>Gráfico de Visão Geral</a:t>
            </a:r>
          </a:p>
        </c:rich>
      </c:tx>
      <c:layout>
        <c:manualLayout>
          <c:xMode val="edge"/>
          <c:yMode val="edge"/>
          <c:x val="0.419332"/>
          <c:y val="0"/>
          <c:w val="0.304839"/>
          <c:h val="0.116578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279952"/>
          <c:y val="0.116578"/>
          <c:w val="0.690881"/>
          <c:h val="0.7958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'AÇÕES - Meu Portfólio'!$A$3</c:f>
              <c:strCache>
                <c:ptCount val="1"/>
                <c:pt idx="0">
                  <c:v>MELI34</c:v>
                </c:pt>
              </c:strCache>
            </c:strRef>
          </c:tx>
          <c:spPr>
            <a:solidFill>
              <a:schemeClr val="accent5"/>
            </a:solidFill>
            <a:ln w="12700" cap="flat">
              <a:solidFill>
                <a:srgbClr val="000000"/>
              </a:solidFill>
              <a:prstDash val="solid"/>
              <a:miter lim="400000"/>
            </a:ln>
            <a:effectLst/>
          </c:spPr>
          <c:invertIfNegative val="0"/>
          <c:dLbls>
            <c:numFmt formatCode="#,##0.0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'AÇÕES - Meu Portfólio'!$N$2</c:f>
              <c:strCache>
                <c:ptCount val="1"/>
                <c:pt idx="0">
                  <c:v>% Ganho</c:v>
                </c:pt>
              </c:strCache>
            </c:strRef>
          </c:cat>
          <c:val>
            <c:numRef>
              <c:f>'AÇÕES - Meu Portfólio'!$N$3</c:f>
              <c:numCache>
                <c:ptCount val="1"/>
                <c:pt idx="0">
                  <c:v>-0.159250</c:v>
                </c:pt>
              </c:numCache>
            </c:numRef>
          </c:val>
        </c:ser>
        <c:ser>
          <c:idx val="1"/>
          <c:order val="1"/>
          <c:tx>
            <c:strRef>
              <c:f>'AÇÕES - Meu Portfólio'!$A$4</c:f>
              <c:strCache>
                <c:ptCount val="1"/>
                <c:pt idx="0">
                  <c:v>BBSE3</c:v>
                </c:pt>
              </c:strCache>
            </c:strRef>
          </c:tx>
          <c:spPr>
            <a:solidFill>
              <a:schemeClr val="accent3">
                <a:satOff val="17877"/>
                <a:lumOff val="13752"/>
              </a:schemeClr>
            </a:solidFill>
            <a:ln w="12700" cap="flat">
              <a:solidFill>
                <a:srgbClr val="000000"/>
              </a:solidFill>
              <a:prstDash val="solid"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'AÇÕES - Meu Portfólio'!$N$2</c:f>
              <c:strCache>
                <c:ptCount val="1"/>
                <c:pt idx="0">
                  <c:v>% Ganho</c:v>
                </c:pt>
              </c:strCache>
            </c:strRef>
          </c:cat>
          <c:val>
            <c:numRef>
              <c:f>'AÇÕES - Meu Portfólio'!$N$4</c:f>
              <c:numCache>
                <c:ptCount val="1"/>
                <c:pt idx="0">
                  <c:v>-0.018879</c:v>
                </c:pt>
              </c:numCache>
            </c:numRef>
          </c:val>
        </c:ser>
        <c:gapWidth val="300"/>
        <c:overlap val="-1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minorGridlines>
          <c:spPr>
            <a:ln w="6350" cap="flat">
              <a:solidFill>
                <a:srgbClr val="000000"/>
              </a:solidFill>
              <a:prstDash val="solid"/>
              <a:miter lim="400000"/>
            </a:ln>
          </c:spPr>
        </c:minorGridlines>
        <c:numFmt formatCode="General" sourceLinked="1"/>
        <c:majorTickMark val="none"/>
        <c:minorTickMark val="none"/>
        <c:tickLblPos val="high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2"/>
        <c:crosses val="autoZero"/>
        <c:crossBetween val="between"/>
        <c:majorUnit val="0.16"/>
        <c:minorUnit val="0.08"/>
      </c:valAx>
      <c:spPr>
        <a:solidFill>
          <a:srgbClr val="FFFFFF"/>
        </a:solidFill>
        <a:ln w="12700" cap="flat">
          <a:solidFill>
            <a:srgbClr val="000000"/>
          </a:solidFill>
          <a:prstDash val="solid"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.0621749"/>
          <c:w val="0.610806"/>
          <c:h val="0.079403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venir Next Regular"/>
            </a:defRPr>
          </a:pPr>
        </a:p>
      </c:txPr>
    </c:legend>
    <c:plotVisOnly val="0"/>
    <c:dispBlanksAs val="gap"/>
  </c:chart>
  <c:spPr>
    <a:noFill/>
    <a:ln>
      <a:noFill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35477"/>
          <c:y val="0.0397531"/>
          <c:w val="0.835565"/>
          <c:h val="0.8942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'ETF BRASIL - Meu Portfólio'!$A$3</c:f>
              <c:strCache>
                <c:ptCount val="1"/>
                <c:pt idx="0">
                  <c:v>COIN11</c:v>
                </c:pt>
              </c:strCache>
            </c:strRef>
          </c:tx>
          <c:spPr>
            <a:solidFill>
              <a:schemeClr val="accent5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'ETF BRASIL - Meu Portfólio'!$N$2</c:f>
              <c:strCache>
                <c:ptCount val="1"/>
                <c:pt idx="0">
                  <c:v>% Ganho</c:v>
                </c:pt>
              </c:strCache>
            </c:strRef>
          </c:cat>
          <c:val>
            <c:numRef>
              <c:f>'ETF BRASIL - Meu Portfólio'!$N$3</c:f>
              <c:numCache>
                <c:ptCount val="1"/>
                <c:pt idx="0">
                  <c:v>-0.140301</c:v>
                </c:pt>
              </c:numCache>
            </c:numRef>
          </c:val>
        </c:ser>
        <c:gapWidth val="500"/>
        <c:overlap val="-1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minorGridlines>
          <c:spPr>
            <a:ln w="6350" cap="flat">
              <a:solidFill>
                <a:srgbClr val="000000"/>
              </a:solidFill>
              <a:prstDash val="solid"/>
              <a:miter lim="400000"/>
            </a:ln>
          </c:spPr>
        </c:minorGridlines>
        <c:numFmt formatCode="#,##0" sourceLinked="1"/>
        <c:majorTickMark val="none"/>
        <c:minorTickMark val="none"/>
        <c:tickLblPos val="high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2"/>
        <c:crosses val="autoZero"/>
        <c:crossBetween val="between"/>
        <c:majorUnit val="0.2"/>
        <c:minorUnit val="0.1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0"/>
    <c:dispBlanksAs val="gap"/>
  </c:chart>
  <c:spPr>
    <a:noFill/>
    <a:ln>
      <a:noFill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606554"/>
          <c:y val="0.0337779"/>
          <c:w val="0.898098"/>
          <c:h val="0.9070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'ETF USA - Meu Portfólio'!$A$9</c:f>
              <c:strCache>
                <c:ptCount val="1"/>
                <c:pt idx="0">
                  <c:v>TFLO</c:v>
                </c:pt>
              </c:strCache>
            </c:strRef>
          </c:tx>
          <c:spPr>
            <a:solidFill>
              <a:schemeClr val="accent5">
                <a:satOff val="-9568"/>
                <a:lumOff val="-531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Sem Título 6</c:v>
              </c:pt>
            </c:strLit>
          </c:cat>
          <c:val>
            <c:numRef>
              <c:f>'ETF USA - Meu Portfólio'!$G$3,'ETF USA - Meu Portfólio'!$I$3,'ETF USA - Meu Portfólio'!$M$3:$N$3</c:f>
              <c:numCache>
                <c:ptCount val="1"/>
                <c:pt idx="0">
                  <c:v>-0.027589</c:v>
                </c:pt>
              </c:numCache>
            </c:numRef>
          </c:val>
        </c:ser>
        <c:ser>
          <c:idx val="1"/>
          <c:order val="1"/>
          <c:tx>
            <c:strRef>
              <c:f>'ETF USA - Meu Portfólio'!$A$3</c:f>
              <c:strCache>
                <c:ptCount val="1"/>
                <c:pt idx="0">
                  <c:v>TLT</c:v>
                </c:pt>
              </c:strCache>
            </c:strRef>
          </c:tx>
          <c:spPr>
            <a:solidFill>
              <a:schemeClr val="accent5">
                <a:satOff val="-9568"/>
                <a:lumOff val="-531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Sem Título 6</c:v>
              </c:pt>
            </c:strLit>
          </c:cat>
          <c:val>
            <c:numRef>
              <c:f>'ETF USA - Meu Portfólio'!$G$4,'ETF USA - Meu Portfólio'!$I$4,'ETF USA - Meu Portfólio'!$M$4:$N$4</c:f>
              <c:numCache>
                <c:ptCount val="1"/>
                <c:pt idx="0">
                  <c:v>-0.012120</c:v>
                </c:pt>
              </c:numCache>
            </c:numRef>
          </c:val>
        </c:ser>
        <c:ser>
          <c:idx val="2"/>
          <c:order val="2"/>
          <c:tx>
            <c:strRef>
              <c:f>'ETF USA - Meu Portfólio'!$A$4</c:f>
              <c:strCache>
                <c:ptCount val="1"/>
                <c:pt idx="0">
                  <c:v>BND</c:v>
                </c:pt>
              </c:strCache>
            </c:strRef>
          </c:tx>
          <c:spPr>
            <a:solidFill>
              <a:schemeClr val="accent5">
                <a:satOff val="-9568"/>
                <a:lumOff val="-531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Sem Título 6</c:v>
              </c:pt>
            </c:strLit>
          </c:cat>
          <c:val>
            <c:numRef>
              <c:f>'ETF USA - Meu Portfólio'!$G$5,'ETF USA - Meu Portfólio'!$I$5,'ETF USA - Meu Portfólio'!$M$5:$N$5</c:f>
              <c:numCache>
                <c:ptCount val="1"/>
                <c:pt idx="0">
                  <c:v>-0.017260</c:v>
                </c:pt>
              </c:numCache>
            </c:numRef>
          </c:val>
        </c:ser>
        <c:ser>
          <c:idx val="3"/>
          <c:order val="3"/>
          <c:tx>
            <c:strRef>
              <c:f>'ETF USA - Meu Portfólio'!$A$5</c:f>
              <c:strCache>
                <c:ptCount val="1"/>
                <c:pt idx="0">
                  <c:v>IUSB</c:v>
                </c:pt>
              </c:strCache>
            </c:strRef>
          </c:tx>
          <c:spPr>
            <a:solidFill>
              <a:schemeClr val="accent5">
                <a:satOff val="-9568"/>
                <a:lumOff val="-531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Sem Título 6</c:v>
              </c:pt>
            </c:strLit>
          </c:cat>
          <c:val>
            <c:numRef>
              <c:f>'ETF USA - Meu Portfólio'!$G$6,'ETF USA - Meu Portfólio'!$I$6,'ETF USA - Meu Portfólio'!$M$6:$N$6</c:f>
              <c:numCache>
                <c:ptCount val="1"/>
                <c:pt idx="0">
                  <c:v>-0.015950</c:v>
                </c:pt>
              </c:numCache>
            </c:numRef>
          </c:val>
        </c:ser>
        <c:ser>
          <c:idx val="4"/>
          <c:order val="4"/>
          <c:tx>
            <c:strRef>
              <c:f>'ETF USA - Meu Portfólio'!$A$6</c:f>
              <c:strCache>
                <c:ptCount val="1"/>
                <c:pt idx="0">
                  <c:v>JCPB</c:v>
                </c:pt>
              </c:strCache>
            </c:strRef>
          </c:tx>
          <c:spPr>
            <a:solidFill>
              <a:schemeClr val="accent5">
                <a:satOff val="-9568"/>
                <a:lumOff val="-531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Sem Título 6</c:v>
              </c:pt>
            </c:strLit>
          </c:cat>
          <c:val>
            <c:numRef>
              <c:f>'ETF USA - Meu Portfólio'!$G$7,'ETF USA - Meu Portfólio'!$I$7,'ETF USA - Meu Portfólio'!$M$7:$N$7</c:f>
              <c:numCache>
                <c:ptCount val="1"/>
                <c:pt idx="0">
                  <c:v>-0.002392</c:v>
                </c:pt>
              </c:numCache>
            </c:numRef>
          </c:val>
        </c:ser>
        <c:ser>
          <c:idx val="5"/>
          <c:order val="5"/>
          <c:tx>
            <c:strRef>
              <c:f>'ETF USA - Meu Portfólio'!$A$7</c:f>
              <c:strCache>
                <c:ptCount val="1"/>
                <c:pt idx="0">
                  <c:v>IAGG</c:v>
                </c:pt>
              </c:strCache>
            </c:strRef>
          </c:tx>
          <c:spPr>
            <a:solidFill>
              <a:schemeClr val="accent3">
                <a:satOff val="17877"/>
                <a:lumOff val="13752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Sem Título 6</c:v>
              </c:pt>
            </c:strLit>
          </c:cat>
          <c:val>
            <c:numRef>
              <c:f>'ETF USA - Meu Portfólio'!$G$8,'ETF USA - Meu Portfólio'!$I$8,'ETF USA - Meu Portfólio'!$M$8:$N$8</c:f>
              <c:numCache>
                <c:ptCount val="1"/>
                <c:pt idx="0">
                  <c:v>0.221744</c:v>
                </c:pt>
              </c:numCache>
            </c:numRef>
          </c:val>
        </c:ser>
        <c:ser>
          <c:idx val="6"/>
          <c:order val="6"/>
          <c:tx>
            <c:strRef>
              <c:f>'ETF USA - Meu Portfólio'!$A$8</c:f>
              <c:strCache>
                <c:ptCount val="1"/>
                <c:pt idx="0">
                  <c:v>IBIT</c:v>
                </c:pt>
              </c:strCache>
            </c:strRef>
          </c:tx>
          <c:spPr>
            <a:solidFill>
              <a:srgbClr val="F6504B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Sem Título 6</c:v>
              </c:pt>
            </c:strLit>
          </c:cat>
          <c:val>
            <c:numRef>
              <c:f>'ETF USA - Meu Portfólio'!$G$9,'ETF USA - Meu Portfólio'!$N$9</c:f>
              <c:numCache>
                <c:ptCount val="1"/>
                <c:pt idx="0">
                  <c:v>-0.002173</c:v>
                </c:pt>
              </c:numCache>
            </c:numRef>
          </c:val>
        </c:ser>
        <c:gapWidth val="150"/>
        <c:overlap val="-1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0.0%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minorGridlines>
          <c:spPr>
            <a:ln w="6350" cap="flat">
              <a:solidFill>
                <a:srgbClr val="000000"/>
              </a:solidFill>
              <a:prstDash val="solid"/>
              <a:miter lim="400000"/>
            </a:ln>
          </c:spPr>
        </c:minorGridlines>
        <c:numFmt formatCode="0.0%" sourceLinked="1"/>
        <c:majorTickMark val="none"/>
        <c:minorTickMark val="none"/>
        <c:tickLblPos val="high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2"/>
        <c:crosses val="autoZero"/>
        <c:crossBetween val="between"/>
        <c:majorUnit val="0.6"/>
        <c:minorUnit val="0.3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681852"/>
          <c:y val="0.0546139"/>
          <c:w val="0.893103"/>
          <c:h val="0.857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'Fundos Imobiliários - Meu Portf'!$A$3</c:f>
              <c:strCache>
                <c:ptCount val="1"/>
                <c:pt idx="0">
                  <c:v>MCCI11</c:v>
                </c:pt>
              </c:strCache>
            </c:strRef>
          </c:tx>
          <c:spPr>
            <a:solidFill>
              <a:schemeClr val="accent3">
                <a:satOff val="17877"/>
                <a:lumOff val="13752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Sem Título 6</c:v>
              </c:pt>
            </c:strLit>
          </c:cat>
          <c:val>
            <c:numRef>
              <c:f>'Fundos Imobiliários - Meu Portf'!$G$3,'Fundos Imobiliários - Meu Portf'!$I$3,'Fundos Imobiliários - Meu Portf'!$M$3:$N$3</c:f>
              <c:numCache>
                <c:ptCount val="1"/>
                <c:pt idx="0">
                  <c:v>0.044384</c:v>
                </c:pt>
              </c:numCache>
            </c:numRef>
          </c:val>
        </c:ser>
        <c:ser>
          <c:idx val="1"/>
          <c:order val="1"/>
          <c:tx>
            <c:strRef>
              <c:f>'Fundos Imobiliários - Meu Portf'!$A$4</c:f>
              <c:strCache>
                <c:ptCount val="1"/>
                <c:pt idx="0">
                  <c:v>PCIP11</c:v>
                </c:pt>
              </c:strCache>
            </c:strRef>
          </c:tx>
          <c:spPr>
            <a:solidFill>
              <a:schemeClr val="accent3">
                <a:satOff val="17877"/>
                <a:lumOff val="13752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Sem Título 6</c:v>
              </c:pt>
            </c:strLit>
          </c:cat>
          <c:val>
            <c:numRef>
              <c:f>'Fundos Imobiliários - Meu Portf'!$G$4,'Fundos Imobiliários - Meu Portf'!$I$4,'Fundos Imobiliários - Meu Portf'!$M$4:$N$4</c:f>
              <c:numCache>
                <c:ptCount val="1"/>
                <c:pt idx="0">
                  <c:v>0.159666</c:v>
                </c:pt>
              </c:numCache>
            </c:numRef>
          </c:val>
        </c:ser>
        <c:ser>
          <c:idx val="2"/>
          <c:order val="2"/>
          <c:tx>
            <c:strRef>
              <c:f>'Fundos Imobiliários - Meu Portf'!$A$5</c:f>
              <c:strCache>
                <c:ptCount val="1"/>
                <c:pt idx="0">
                  <c:v>CXCI11</c:v>
                </c:pt>
              </c:strCache>
            </c:strRef>
          </c:tx>
          <c:spPr>
            <a:solidFill>
              <a:schemeClr val="accent3">
                <a:satOff val="17877"/>
                <a:lumOff val="13752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Sem Título 6</c:v>
              </c:pt>
            </c:strLit>
          </c:cat>
          <c:val>
            <c:numRef>
              <c:f>'Fundos Imobiliários - Meu Portf'!$G$5,'Fundos Imobiliários - Meu Portf'!$I$5,'Fundos Imobiliários - Meu Portf'!$M$5:$N$5</c:f>
              <c:numCache>
                <c:ptCount val="1"/>
                <c:pt idx="0">
                  <c:v>-0.012710</c:v>
                </c:pt>
              </c:numCache>
            </c:numRef>
          </c:val>
        </c:ser>
        <c:gapWidth val="300"/>
        <c:overlap val="-1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#,##0.0%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minorGridlines>
          <c:spPr>
            <a:ln w="6350" cap="flat">
              <a:solidFill>
                <a:srgbClr val="000000"/>
              </a:solidFill>
              <a:prstDash val="solid"/>
              <a:miter lim="400000"/>
            </a:ln>
          </c:spPr>
        </c:minorGridlines>
        <c:numFmt formatCode="#,##0.0%" sourceLinked="1"/>
        <c:majorTickMark val="none"/>
        <c:minorTickMark val="none"/>
        <c:tickLblPos val="high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2"/>
        <c:crosses val="autoZero"/>
        <c:crossBetween val="between"/>
        <c:majorUnit val="0.32"/>
        <c:minorUnit val="0.16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681116"/>
          <c:y val="0.0560406"/>
          <c:w val="0.893218"/>
          <c:h val="0.8540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'Reit''s - Meu Portfólio'!$A$3</c:f>
              <c:strCache>
                <c:ptCount val="1"/>
                <c:pt idx="0">
                  <c:v>PSA</c:v>
                </c:pt>
              </c:strCache>
            </c:strRef>
          </c:tx>
          <c:spPr>
            <a:solidFill>
              <a:schemeClr val="accent3">
                <a:satOff val="17877"/>
                <a:lumOff val="13752"/>
              </a:schemeClr>
            </a:solidFill>
            <a:ln w="12700" cap="flat">
              <a:solidFill>
                <a:srgbClr val="000000"/>
              </a:solidFill>
              <a:prstDash val="solid"/>
              <a:miter lim="400000"/>
            </a:ln>
            <a:effectLst/>
          </c:spPr>
          <c:invertIfNegative val="0"/>
          <c:dLbls>
            <c:numFmt formatCode="#,##0.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Sem Título 6</c:v>
              </c:pt>
            </c:strLit>
          </c:cat>
          <c:val>
            <c:numRef>
              <c:f>'Reit''s - Meu Portfólio'!$G$3,'Reit''s - Meu Portfólio'!$I$3,'Reit''s - Meu Portfólio'!$M$3:$N$3</c:f>
              <c:numCache>
                <c:ptCount val="1"/>
                <c:pt idx="0">
                  <c:v>0.179748</c:v>
                </c:pt>
              </c:numCache>
            </c:numRef>
          </c:val>
        </c:ser>
        <c:ser>
          <c:idx val="1"/>
          <c:order val="1"/>
          <c:tx>
            <c:strRef>
              <c:f>'Reit''s - Meu Portfólio'!$A$4</c:f>
              <c:strCache>
                <c:ptCount val="1"/>
                <c:pt idx="0">
                  <c:v>VICI</c:v>
                </c:pt>
              </c:strCache>
            </c:strRef>
          </c:tx>
          <c:spPr>
            <a:solidFill>
              <a:schemeClr val="accent3">
                <a:satOff val="17877"/>
                <a:lumOff val="13752"/>
              </a:schemeClr>
            </a:solidFill>
            <a:ln w="12700" cap="flat">
              <a:solidFill>
                <a:srgbClr val="000000"/>
              </a:solidFill>
              <a:prstDash val="solid"/>
              <a:miter lim="400000"/>
            </a:ln>
            <a:effectLst/>
          </c:spPr>
          <c:invertIfNegative val="0"/>
          <c:dLbls>
            <c:numFmt formatCode="#,##0.0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Sem Título 6</c:v>
              </c:pt>
            </c:strLit>
          </c:cat>
          <c:val>
            <c:numRef>
              <c:f>'Reit''s - Meu Portfólio'!$G$4,'Reit''s - Meu Portfólio'!$I$4,'Reit''s - Meu Portfólio'!$M$4:$N$4</c:f>
              <c:numCache>
                <c:ptCount val="1"/>
                <c:pt idx="0">
                  <c:v>0.026381</c:v>
                </c:pt>
              </c:numCache>
            </c:numRef>
          </c:val>
        </c:ser>
        <c:ser>
          <c:idx val="2"/>
          <c:order val="2"/>
          <c:tx>
            <c:strRef>
              <c:f>'Reit''s - Meu Portfólio'!$A$5</c:f>
              <c:strCache>
                <c:ptCount val="1"/>
                <c:pt idx="0">
                  <c:v>AMT</c:v>
                </c:pt>
              </c:strCache>
            </c:strRef>
          </c:tx>
          <c:spPr>
            <a:solidFill>
              <a:schemeClr val="accent3">
                <a:satOff val="17877"/>
                <a:lumOff val="13752"/>
              </a:schemeClr>
            </a:solidFill>
            <a:ln w="12700" cap="flat">
              <a:solidFill>
                <a:srgbClr val="000000"/>
              </a:solidFill>
              <a:prstDash val="solid"/>
              <a:miter lim="400000"/>
            </a:ln>
            <a:effectLst/>
          </c:spPr>
          <c:invertIfNegative val="0"/>
          <c:dLbls>
            <c:numFmt formatCode="#,##0.0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Sem Título 6</c:v>
              </c:pt>
            </c:strLit>
          </c:cat>
          <c:val>
            <c:numRef>
              <c:f>'Reit''s - Meu Portfólio'!$G$5,'Reit''s - Meu Portfólio'!$I$5,'Reit''s - Meu Portfólio'!$M$5:$N$5</c:f>
              <c:numCache>
                <c:ptCount val="1"/>
                <c:pt idx="0">
                  <c:v>0.022175</c:v>
                </c:pt>
              </c:numCache>
            </c:numRef>
          </c:val>
        </c:ser>
        <c:gapWidth val="300"/>
        <c:overlap val="-1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#,##0.0%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minorGridlines>
          <c:spPr>
            <a:ln w="6350" cap="flat">
              <a:solidFill>
                <a:srgbClr val="000000"/>
              </a:solidFill>
              <a:prstDash val="solid"/>
              <a:miter lim="400000"/>
            </a:ln>
          </c:spPr>
        </c:minorGridlines>
        <c:numFmt formatCode="#,##0.0%" sourceLinked="1"/>
        <c:majorTickMark val="none"/>
        <c:minorTickMark val="none"/>
        <c:tickLblPos val="high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2"/>
        <c:crosses val="autoZero"/>
        <c:crossBetween val="between"/>
        <c:majorUnit val="0.18"/>
        <c:minorUnit val="0.09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2586"/>
          <c:y val="0.0453577"/>
          <c:w val="0.894353"/>
          <c:h val="0.8795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'STOCKS - Meu Portfólio'!$A$3</c:f>
              <c:strCache>
                <c:ptCount val="1"/>
                <c:pt idx="0">
                  <c:v>RACE</c:v>
                </c:pt>
              </c:strCache>
            </c:strRef>
          </c:tx>
          <c:spPr>
            <a:solidFill>
              <a:schemeClr val="accent5">
                <a:satOff val="-9568"/>
                <a:lumOff val="-531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Sem Título 6</c:v>
              </c:pt>
            </c:strLit>
          </c:cat>
          <c:val>
            <c:numRef>
              <c:f>'STOCKS - Meu Portfólio'!$G$3,'STOCKS - Meu Portfólio'!$I$3,'STOCKS - Meu Portfólio'!$M$3:$N$3</c:f>
              <c:numCache>
                <c:ptCount val="1"/>
                <c:pt idx="0">
                  <c:v>-0.104406</c:v>
                </c:pt>
              </c:numCache>
            </c:numRef>
          </c:val>
        </c:ser>
        <c:gapWidth val="490"/>
        <c:overlap val="-1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#,##0.0%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minorGridlines>
          <c:spPr>
            <a:ln w="6350" cap="flat">
              <a:solidFill>
                <a:srgbClr val="000000"/>
              </a:solidFill>
              <a:prstDash val="solid"/>
              <a:miter lim="400000"/>
            </a:ln>
          </c:spPr>
        </c:minorGridlines>
        <c:numFmt formatCode="#,##0.0%" sourceLinked="1"/>
        <c:majorTickMark val="none"/>
        <c:minorTickMark val="none"/>
        <c:tickLblPos val="high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2"/>
        <c:crosses val="autoZero"/>
        <c:crossBetween val="between"/>
        <c:majorUnit val="0.2"/>
        <c:minorUnit val="0.1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59351"/>
          <c:y val="0.043909"/>
          <c:w val="0.909859"/>
          <c:h val="0.817102"/>
        </c:manualLayout>
      </c:layout>
      <c:barChart>
        <c:barDir val="bar"/>
        <c:grouping val="clustered"/>
        <c:varyColors val="0"/>
        <c:ser>
          <c:idx val="0"/>
          <c:order val="0"/>
          <c:tx>
            <c:v>CDB - 2</c:v>
          </c:tx>
          <c:spPr>
            <a:solidFill>
              <a:schemeClr val="accent3">
                <a:satOff val="17877"/>
                <a:lumOff val="13752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/>
              </c:pt>
            </c:strLit>
          </c:cat>
          <c:val>
            <c:numRef>
              <c:f>'CDB - Meu Portfólio-1'!$A$3</c:f>
              <c:numCache>
                <c:ptCount val="0"/>
              </c:numCache>
            </c:numRef>
          </c:val>
        </c:ser>
        <c:ser>
          <c:idx val="1"/>
          <c:order val="1"/>
          <c:tx>
            <c:v>Sem Título 2</c:v>
          </c:tx>
          <c:spPr>
            <a:solidFill>
              <a:schemeClr val="accent3">
                <a:satOff val="17877"/>
                <a:lumOff val="13752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/>
              </c:pt>
            </c:strLit>
          </c:cat>
          <c:val>
            <c:numRef>
              <c:f>'CDB - Meu Portfólio-1'!$N$6</c:f>
              <c:numCache>
                <c:ptCount val="1"/>
                <c:pt idx="0">
                  <c:v>0.044402</c:v>
                </c:pt>
              </c:numCache>
            </c:numRef>
          </c:val>
        </c:ser>
        <c:ser>
          <c:idx val="2"/>
          <c:order val="2"/>
          <c:tx>
            <c:v>Sem Título 3</c:v>
          </c:tx>
          <c:spPr>
            <a:solidFill>
              <a:schemeClr val="accent3">
                <a:hueOff val="-38674"/>
                <a:satOff val="-11856"/>
                <a:lumOff val="-905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/>
              </c:pt>
            </c:strLit>
          </c:cat>
          <c:val>
            <c:numRef>
              <c:f>'CDB - Meu Portfólio'!$B$3</c:f>
              <c:numCache>
                <c:ptCount val="0"/>
              </c:numCache>
            </c:numRef>
          </c:val>
        </c:ser>
        <c:ser>
          <c:idx val="3"/>
          <c:order val="3"/>
          <c:tx>
            <c:v>Sem Título 4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/>
              </c:pt>
            </c:strLit>
          </c:cat>
          <c:val>
            <c:numRef>
              <c:f>'CDB - Meu Portfólio'!$T$6</c:f>
              <c:numCache>
                <c:ptCount val="1"/>
                <c:pt idx="0">
                  <c:v>0.045350</c:v>
                </c:pt>
              </c:numCache>
            </c:numRef>
          </c:val>
        </c:ser>
        <c:gapWidth val="300"/>
        <c:overlap val="-1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#,##0.0%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minorGridlines>
          <c:spPr>
            <a:ln w="6350" cap="flat">
              <a:solidFill>
                <a:srgbClr val="000000"/>
              </a:solidFill>
              <a:prstDash val="solid"/>
              <a:miter lim="400000"/>
            </a:ln>
          </c:spPr>
        </c:minorGridlines>
        <c:title>
          <c:tx>
            <c:rich>
              <a:bodyPr rot="0"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venir Next Regular"/>
                  </a:defRPr>
                </a:pPr>
                <a:r>
                  <a:rPr b="0" i="0" strike="noStrike" sz="1000" u="none">
                    <a:solidFill>
                      <a:srgbClr val="000000"/>
                    </a:solidFill>
                    <a:latin typeface="Avenir Next Regular"/>
                  </a:rPr>
                  <a:t>Eixo de Valores</a:t>
                </a:r>
              </a:p>
            </c:rich>
          </c:tx>
          <c:layout/>
          <c:overlay val="1"/>
        </c:title>
        <c:numFmt formatCode="#,##0.0%" sourceLinked="1"/>
        <c:majorTickMark val="none"/>
        <c:minorTickMark val="none"/>
        <c:tickLblPos val="high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2"/>
        <c:crosses val="autoZero"/>
        <c:crossBetween val="between"/>
        <c:majorUnit val="0.0011"/>
        <c:minorUnit val="0.0005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575312"/>
          <c:y val="0.0472229"/>
          <c:w val="0.925541"/>
          <c:h val="0.8750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'CRI_CRA - Meu Portfólio'!$A$3</c:f>
              <c:strCache>
                <c:ptCount val="1"/>
                <c:pt idx="0">
                  <c:v>CRA - 1</c:v>
                </c:pt>
              </c:strCache>
            </c:strRef>
          </c:tx>
          <c:spPr>
            <a:solidFill>
              <a:schemeClr val="accent3">
                <a:satOff val="17877"/>
                <a:lumOff val="13752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2"/>
              <c:pt idx="0">
                <c:v>Sem Título 5</c:v>
              </c:pt>
              <c:pt idx="1">
                <c:v>Sem Título 6</c:v>
              </c:pt>
            </c:strLit>
          </c:cat>
          <c:val>
            <c:numRef>
              <c:f>'CRI_CRA - Meu Portfólio'!$A$3,'CRI_CRA - Meu Portfólio'!$N$3,'CRI_CRA - Meu Portfólio'!$P$3,'CRI_CRA - Meu Portfólio'!$T$3:$U$3</c:f>
              <c:numCache>
                <c:ptCount val="1"/>
                <c:pt idx="1">
                  <c:v>0.109493</c:v>
                </c:pt>
              </c:numCache>
            </c:numRef>
          </c:val>
        </c:ser>
        <c:gapWidth val="300"/>
        <c:overlap val="-1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#,##0.0%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minorGridlines>
          <c:spPr>
            <a:ln w="6350" cap="flat">
              <a:solidFill>
                <a:srgbClr val="000000"/>
              </a:solidFill>
              <a:prstDash val="solid"/>
              <a:miter lim="400000"/>
            </a:ln>
          </c:spPr>
        </c:minorGridlines>
        <c:numFmt formatCode="#,##0.0%" sourceLinked="1"/>
        <c:majorTickMark val="none"/>
        <c:minorTickMark val="none"/>
        <c:tickLblPos val="high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2"/>
        <c:crosses val="autoZero"/>
        <c:crossBetween val="between"/>
        <c:majorUnit val="0.2"/>
        <c:minorUnit val="0.1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01842"/>
          <c:y val="0.0441545"/>
          <c:w val="0.897848"/>
          <c:h val="0.8823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'FUNDOS - Meu Portfólio'!$A$3</c:f>
              <c:strCache>
                <c:ptCount val="1"/>
                <c:pt idx="0">
                  <c:v>FUNDOS</c:v>
                </c:pt>
              </c:strCache>
            </c:strRef>
          </c:tx>
          <c:spPr>
            <a:solidFill>
              <a:schemeClr val="accent3">
                <a:satOff val="17877"/>
                <a:lumOff val="13752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Sem Título 6</c:v>
              </c:pt>
            </c:strLit>
          </c:cat>
          <c:val>
            <c:numRef>
              <c:f>'FUNDOS - Meu Portfólio'!$H$3,'FUNDOS - Meu Portfólio'!$J$3,'FUNDOS - Meu Portfólio'!$N$3:$O$3</c:f>
              <c:numCache>
                <c:ptCount val="1"/>
                <c:pt idx="0">
                  <c:v>0.036050</c:v>
                </c:pt>
              </c:numCache>
            </c:numRef>
          </c:val>
        </c:ser>
        <c:ser>
          <c:idx val="1"/>
          <c:order val="1"/>
          <c:tx>
            <c:strRef>
              <c:f>'FUNDOS - Meu Portfólio'!$A$5</c:f>
              <c:strCache/>
            </c:strRef>
          </c:tx>
          <c:spPr>
            <a:solidFill>
              <a:schemeClr val="accent3">
                <a:satOff val="17877"/>
                <a:lumOff val="13752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Sem Título 6</c:v>
              </c:pt>
            </c:strLit>
          </c:cat>
          <c:val>
            <c:numRef>
              <c:f>'FUNDOS - Meu Portfólio'!$H$5,'FUNDOS - Meu Portfólio'!$J$5,'FUNDOS - Meu Portfólio'!$N$5:$O$5</c:f>
              <c:numCache>
                <c:ptCount val="1"/>
                <c:pt idx="0">
                  <c:v>0.019648</c:v>
                </c:pt>
              </c:numCache>
            </c:numRef>
          </c:val>
        </c:ser>
        <c:gapWidth val="300"/>
        <c:overlap val="-1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#,##0.0%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minorGridlines>
          <c:spPr>
            <a:ln w="6350" cap="flat">
              <a:solidFill>
                <a:srgbClr val="000000"/>
              </a:solidFill>
              <a:prstDash val="solid"/>
              <a:miter lim="400000"/>
            </a:ln>
          </c:spPr>
        </c:minorGridlines>
        <c:numFmt formatCode="#,##0.0%" sourceLinked="1"/>
        <c:majorTickMark val="none"/>
        <c:minorTickMark val="none"/>
        <c:tickLblPos val="high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2"/>
        <c:crosses val="autoZero"/>
        <c:crossBetween val="between"/>
        <c:majorUnit val="0.038"/>
        <c:minorUnit val="0.019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2821"/>
          <c:y val="0.0616661"/>
          <c:w val="0.894011"/>
          <c:h val="0.840691"/>
        </c:manualLayout>
      </c:layout>
      <c:barChart>
        <c:barDir val="bar"/>
        <c:grouping val="clustered"/>
        <c:varyColors val="0"/>
        <c:ser>
          <c:idx val="0"/>
          <c:order val="0"/>
          <c:tx>
            <c:v>CDB</c:v>
          </c:tx>
          <c:spPr>
            <a:solidFill>
              <a:srgbClr val="91BE7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0"/>
            </c:strLit>
          </c:cat>
          <c:val>
            <c:numRef>
              <c:f>'LCI_LCA - Meu Portfólio'!$I$3:$I$4</c:f>
              <c:numCache>
                <c:ptCount val="0"/>
              </c:numCache>
            </c:numRef>
          </c:val>
        </c:ser>
        <c:ser>
          <c:idx val="1"/>
          <c:order val="1"/>
          <c:tx>
            <c:v>Sem Título 2</c:v>
          </c:tx>
          <c:spPr>
            <a:solidFill>
              <a:schemeClr val="accent2">
                <a:satOff val="-19605"/>
                <a:lumOff val="-22790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0"/>
            </c:strLit>
          </c:cat>
          <c:val>
            <c:numRef>
              <c:f>'LCI_LCA - Meu Portfólio'!$K$3</c:f>
              <c:numCache>
                <c:ptCount val="0"/>
              </c:numCache>
            </c:numRef>
          </c:val>
        </c:ser>
        <c:ser>
          <c:idx val="2"/>
          <c:order val="2"/>
          <c:tx>
            <c:v>Sem Título 3</c:v>
          </c:tx>
          <c:spPr>
            <a:solidFill>
              <a:schemeClr val="accent3">
                <a:hueOff val="-38674"/>
                <a:satOff val="-11856"/>
                <a:lumOff val="-905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0"/>
            </c:strLit>
          </c:cat>
          <c:val>
            <c:numRef>
              <c:f>'LCI_LCA - Meu Portfólio'!$O$3</c:f>
              <c:numCache>
                <c:ptCount val="0"/>
              </c:numCache>
            </c:numRef>
          </c:val>
        </c:ser>
        <c:ser>
          <c:idx val="3"/>
          <c:order val="3"/>
          <c:tx>
            <c:v>Sem Título 4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0"/>
            </c:strLit>
          </c:cat>
          <c:val>
            <c:numRef>
              <c:f>'LCI_LCA - Meu Portfólio'!$P$3</c:f>
              <c:numCache>
                <c:ptCount val="0"/>
              </c:numCache>
            </c:numRef>
          </c:val>
        </c:ser>
        <c:gapWidth val="300"/>
        <c:overlap val="-1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#,##0.0%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minorGridlines>
          <c:spPr>
            <a:ln w="6350" cap="flat">
              <a:solidFill>
                <a:srgbClr val="000000"/>
              </a:solidFill>
              <a:prstDash val="solid"/>
              <a:miter lim="400000"/>
            </a:ln>
          </c:spPr>
        </c:minorGridlines>
        <c:numFmt formatCode="#,##0.0%" sourceLinked="1"/>
        <c:majorTickMark val="none"/>
        <c:minorTickMark val="none"/>
        <c:tickLblPos val="high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venir Next Regular"/>
              </a:defRPr>
            </a:pPr>
          </a:p>
        </c:txPr>
        <c:crossAx val="2094734552"/>
        <c:crosses val="autoZero"/>
        <c:crossBetween val="between"/>
        <c:majorUnit val="0.017"/>
        <c:minorUnit val="0.008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379671"/>
          <c:y val="0.0834822"/>
          <c:w val="0.615329"/>
          <c:h val="0.904018"/>
        </c:manualLayout>
      </c:layout>
      <c:pieChart>
        <c:varyColors val="0"/>
        <c:ser>
          <c:idx val="0"/>
          <c:order val="0"/>
          <c:tx>
            <c:strRef>
              <c:f>'Consolidação - AÇÕES'!$D$2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27AAF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rgbClr val="227AAF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2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'Consolidação - AÇÕES'!$A$4:$A$5</c:f>
              <c:strCache>
                <c:ptCount val="2"/>
                <c:pt idx="0">
                  <c:v>MELI34</c:v>
                </c:pt>
                <c:pt idx="1">
                  <c:v>BBSE3</c:v>
                </c:pt>
              </c:strCache>
            </c:strRef>
          </c:cat>
          <c:val>
            <c:numRef>
              <c:f>'Consolidação - AÇÕES'!$D$4:$D$5</c:f>
              <c:numCache>
                <c:ptCount val="2"/>
                <c:pt idx="0">
                  <c:v>29396.000000</c:v>
                </c:pt>
                <c:pt idx="1">
                  <c:v>10290.000000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l"/>
      <c:layout>
        <c:manualLayout>
          <c:xMode val="edge"/>
          <c:yMode val="edge"/>
          <c:x val="0"/>
          <c:y val="0"/>
          <c:w val="0.2429"/>
          <c:h val="0.179593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venir Next Regular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view3D>
      <c:rotX val="80"/>
      <c:hPercent val="55"/>
      <c:rotY val="0"/>
      <c:depthPercent val="100"/>
      <c:rAngAx val="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34061"/>
          <c:y val="0.122018"/>
          <c:w val="0.760939"/>
          <c:h val="0.865482"/>
        </c:manualLayout>
      </c:layout>
      <c:pie3DChart>
        <c:varyColors val="0"/>
        <c:ser>
          <c:idx val="0"/>
          <c:order val="0"/>
          <c:tx>
            <c:strRef>
              <c:f>'Consolidação - Projeção Anual 2'!$B$2</c:f>
              <c:strCache>
                <c:ptCount val="1"/>
                <c:pt idx="0">
                  <c:v>Total de rendimentos</c:v>
                </c:pt>
              </c:strCache>
            </c:strRef>
          </c:tx>
          <c:spPr>
            <a:solidFill>
              <a:srgbClr val="17FF14"/>
            </a:solidFill>
            <a:ln w="12700" cap="flat">
              <a:noFill/>
              <a:miter lim="400000"/>
            </a:ln>
            <a:effectLst>
              <a:outerShdw sx="100000" sy="100000" kx="0" ky="0" algn="tl" rotWithShape="1" blurRad="127000" dist="0" dir="7320000">
                <a:srgbClr val="000000">
                  <a:alpha val="55000"/>
                </a:srgbClr>
              </a:outerShdw>
            </a:effectLst>
            <a:sp3d prstMaterial="matte"/>
          </c:spPr>
          <c:explosion val="0"/>
          <c:dPt>
            <c:idx val="0"/>
            <c:explosion val="0"/>
            <c:spPr>
              <a:solidFill>
                <a:srgbClr val="17FF14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127000" dist="0" dir="7320000">
                  <a:srgbClr val="000000">
                    <a:alpha val="55000"/>
                  </a:srgbClr>
                </a:outerShdw>
              </a:effectLst>
              <a:sp3d prstMaterial="matte"/>
            </c:spPr>
          </c:dPt>
          <c:dPt>
            <c:idx val="1"/>
            <c:explosion val="0"/>
            <c:spPr>
              <a:solidFill>
                <a:srgbClr val="8B1FCF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127000" dist="0" dir="7320000">
                  <a:srgbClr val="000000">
                    <a:alpha val="55000"/>
                  </a:srgbClr>
                </a:outerShdw>
              </a:effectLst>
              <a:sp3d prstMaterial="matte"/>
            </c:spPr>
          </c:dPt>
          <c:dPt>
            <c:idx val="2"/>
            <c:explosion val="0"/>
            <c:spPr>
              <a:solidFill>
                <a:schemeClr val="accent3">
                  <a:hueOff val="-38674"/>
                  <a:satOff val="-11856"/>
                  <a:lumOff val="-9051"/>
                </a:schemeClr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127000" dist="0" dir="7320000">
                  <a:srgbClr val="000000">
                    <a:alpha val="55000"/>
                  </a:srgbClr>
                </a:outerShdw>
              </a:effectLst>
              <a:sp3d prstMaterial="matte"/>
            </c:spPr>
          </c:dPt>
          <c:dPt>
            <c:idx val="3"/>
            <c:explosion val="0"/>
            <c:spPr>
              <a:solidFill>
                <a:srgbClr val="FFC400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127000" dist="0" dir="7320000">
                  <a:srgbClr val="000000">
                    <a:alpha val="55000"/>
                  </a:srgbClr>
                </a:outerShdw>
              </a:effectLst>
              <a:sp3d prstMaterial="matte"/>
            </c:spPr>
          </c:dPt>
          <c:dPt>
            <c:idx val="4"/>
            <c:explosion val="0"/>
            <c:spPr>
              <a:solidFill>
                <a:srgbClr val="F52720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127000" dist="0" dir="7320000">
                  <a:srgbClr val="000000">
                    <a:alpha val="55000"/>
                  </a:srgbClr>
                </a:outerShdw>
              </a:effectLst>
              <a:sp3d prstMaterial="matte"/>
            </c:spPr>
          </c:dPt>
          <c:dPt>
            <c:idx val="5"/>
            <c:explosion val="0"/>
            <c:spPr>
              <a:solidFill>
                <a:srgbClr val="9FA584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127000" dist="0" dir="7320000">
                  <a:srgbClr val="000000">
                    <a:alpha val="55000"/>
                  </a:srgbClr>
                </a:outerShdw>
              </a:effectLst>
              <a:sp3d prstMaterial="matte"/>
            </c:spPr>
          </c:dPt>
          <c:dPt>
            <c:idx val="6"/>
            <c:explosion val="0"/>
            <c:spPr>
              <a:solidFill>
                <a:srgbClr val="FFF414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127000" dist="0" dir="7320000">
                  <a:srgbClr val="000000">
                    <a:alpha val="55000"/>
                  </a:srgbClr>
                </a:outerShdw>
              </a:effectLst>
              <a:sp3d prstMaterial="matte"/>
            </c:spPr>
          </c:dPt>
          <c:dPt>
            <c:idx val="7"/>
            <c:explosion val="0"/>
            <c:spPr>
              <a:solidFill>
                <a:srgbClr val="313FFF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127000" dist="0" dir="7320000">
                  <a:srgbClr val="000000">
                    <a:alpha val="55000"/>
                  </a:srgbClr>
                </a:outerShdw>
              </a:effectLst>
              <a:sp3d prstMaterial="matte"/>
            </c:spPr>
          </c:dPt>
          <c:dPt>
            <c:idx val="8"/>
            <c:explosion val="0"/>
            <c:spPr>
              <a:solidFill>
                <a:srgbClr val="00AE2C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127000" dist="0" dir="7320000">
                  <a:srgbClr val="000000">
                    <a:alpha val="55000"/>
                  </a:srgbClr>
                </a:outerShdw>
              </a:effectLst>
              <a:sp3d prstMaterial="matte"/>
            </c:spPr>
          </c:dPt>
          <c:dPt>
            <c:idx val="9"/>
            <c:explosion val="0"/>
            <c:spPr>
              <a:solidFill>
                <a:srgbClr val="514716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127000" dist="0" dir="7320000">
                  <a:srgbClr val="000000">
                    <a:alpha val="55000"/>
                  </a:srgbClr>
                </a:outerShdw>
              </a:effectLst>
              <a:sp3d prstMaterial="matte"/>
            </c:spPr>
          </c:dPt>
          <c:dPt>
            <c:idx val="10"/>
            <c:explosion val="0"/>
            <c:spPr>
              <a:solidFill>
                <a:srgbClr val="F0D2F6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127000" dist="0" dir="7320000">
                  <a:srgbClr val="000000">
                    <a:alpha val="55000"/>
                  </a:srgbClr>
                </a:outerShdw>
              </a:effectLst>
              <a:sp3d prstMaterial="matte"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9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</c:dLbls>
          <c:cat>
            <c:strRef>
              <c:f>'Consolidação - Projeção Anual 2'!$A$3:$A$13</c:f>
              <c:strCache>
                <c:ptCount val="11"/>
                <c:pt idx="0">
                  <c:v>AÇÕES - BR</c:v>
                </c:pt>
                <c:pt idx="1">
                  <c:v>ETF - BRASIL</c:v>
                </c:pt>
                <c:pt idx="2">
                  <c:v>ETF - USA</c:v>
                </c:pt>
                <c:pt idx="3">
                  <c:v>FUNDOS IMOBILIÁRIOS</c:v>
                </c:pt>
                <c:pt idx="4">
                  <c:v>REIT’S</c:v>
                </c:pt>
                <c:pt idx="5">
                  <c:v>STOCKS</c:v>
                </c:pt>
                <c:pt idx="6">
                  <c:v>CDB</c:v>
                </c:pt>
                <c:pt idx="7">
                  <c:v>CRI/CRA</c:v>
                </c:pt>
                <c:pt idx="8">
                  <c:v>FUNDOS</c:v>
                </c:pt>
                <c:pt idx="9">
                  <c:v>LCI/LCA</c:v>
                </c:pt>
                <c:pt idx="10">
                  <c:v>TESOURO DIRETO</c:v>
                </c:pt>
              </c:strCache>
            </c:strRef>
          </c:cat>
          <c:val>
            <c:numRef>
              <c:f>'Consolidação - Projeção Anual 2'!$B$3:$B$13</c:f>
              <c:numCache>
                <c:ptCount val="11"/>
                <c:pt idx="0">
                  <c:v>39686.000000</c:v>
                </c:pt>
                <c:pt idx="1">
                  <c:v>31226.000000</c:v>
                </c:pt>
                <c:pt idx="2">
                  <c:v>24349.405806</c:v>
                </c:pt>
                <c:pt idx="3">
                  <c:v>29988.780000</c:v>
                </c:pt>
                <c:pt idx="4">
                  <c:v>7902.282528</c:v>
                </c:pt>
                <c:pt idx="5">
                  <c:v>3287.617660</c:v>
                </c:pt>
                <c:pt idx="6">
                  <c:v>2157.064433</c:v>
                </c:pt>
                <c:pt idx="7">
                  <c:v>212441.740000</c:v>
                </c:pt>
                <c:pt idx="8">
                  <c:v>174364.610000</c:v>
                </c:pt>
                <c:pt idx="9">
                  <c:v>22019.300000</c:v>
                </c:pt>
                <c:pt idx="10">
                  <c:v>235079.541436</c:v>
                </c:pt>
              </c:numCache>
            </c:numRef>
          </c:val>
        </c:ser>
      </c:pie3DChart>
      <c:spPr>
        <a:noFill/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"/>
          <c:y val="0"/>
          <c:w val="0.315966"/>
          <c:h val="0.42071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venir Next Regular"/>
            </a:defRPr>
          </a:pPr>
        </a:p>
      </c:txPr>
    </c:legend>
    <c:plotVisOnly val="0"/>
    <c:dispBlanksAs val="gap"/>
  </c:chart>
  <c:spPr>
    <a:noFill/>
    <a:ln>
      <a:noFill/>
    </a:ln>
    <a:effectLst/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41667"/>
          <c:y val="0.187296"/>
          <c:w val="0.716667"/>
          <c:h val="0.800204"/>
        </c:manualLayout>
      </c:layout>
      <c:pieChart>
        <c:varyColors val="0"/>
        <c:ser>
          <c:idx val="0"/>
          <c:order val="0"/>
          <c:tx>
            <c:strRef>
              <c:f>'Consolidação - ETF - BRASIL'!$A$2</c:f>
              <c:strCache>
                <c:ptCount val="1"/>
                <c:pt idx="0">
                  <c:v>ETF</c:v>
                </c:pt>
              </c:strCache>
            </c:strRef>
          </c:tx>
          <c:spPr>
            <a:solidFill>
              <a:srgbClr val="227AAF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rgbClr val="227AAF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Lit>
              <c:ptCount val="1"/>
              <c:pt idx="0">
                <c:v>COIN11</c:v>
              </c:pt>
            </c:strLit>
          </c:cat>
          <c:val>
            <c:numRef>
              <c:f>'Consolidação - ETF - BRASIL'!$C$3</c:f>
              <c:numCache>
                <c:ptCount val="1"/>
                <c:pt idx="0">
                  <c:v>31226.000000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11388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venir Next Regular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41667"/>
          <c:y val="0.185022"/>
          <c:w val="0.716667"/>
          <c:h val="0.802478"/>
        </c:manualLayout>
      </c:layout>
      <c:pieChart>
        <c:varyColors val="0"/>
        <c:ser>
          <c:idx val="0"/>
          <c:order val="0"/>
          <c:tx>
            <c:strRef>
              <c:f>'Consolidação - ETF - USA'!$D$2</c:f>
              <c:strCache>
                <c:ptCount val="1"/>
                <c:pt idx="0">
                  <c:v>VALOR DO ETF</c:v>
                </c:pt>
              </c:strCache>
            </c:strRef>
          </c:tx>
          <c:spPr>
            <a:solidFill>
              <a:srgbClr val="2E578C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rgbClr val="2E578C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rgbClr val="5D9648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rgbClr val="E7A13D"/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rgbClr val="BC2D30"/>
              </a:solidFill>
              <a:ln w="12700" cap="flat">
                <a:noFill/>
                <a:miter lim="400000"/>
              </a:ln>
              <a:effectLst/>
            </c:spPr>
          </c:dPt>
          <c:dPt>
            <c:idx val="4"/>
            <c:explosion val="0"/>
            <c:spPr>
              <a:solidFill>
                <a:srgbClr val="6F3D79"/>
              </a:solidFill>
              <a:ln w="12700" cap="flat">
                <a:noFill/>
                <a:miter lim="400000"/>
              </a:ln>
              <a:effectLst/>
            </c:spPr>
          </c:dPt>
          <c:dPt>
            <c:idx val="5"/>
            <c:explosion val="0"/>
            <c:spPr>
              <a:solidFill>
                <a:srgbClr val="7D807F"/>
              </a:solidFill>
              <a:ln w="12700" cap="flat">
                <a:noFill/>
                <a:miter lim="400000"/>
              </a:ln>
              <a:effectLst/>
            </c:spPr>
          </c:dPt>
          <c:dPt>
            <c:idx val="6"/>
            <c:explosion val="0"/>
            <c:spPr>
              <a:solidFill>
                <a:srgbClr val="5ECD12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Lit>
              <c:ptCount val="7"/>
              <c:pt idx="0">
                <c:v>TLT</c:v>
              </c:pt>
              <c:pt idx="1">
                <c:v>BND</c:v>
              </c:pt>
              <c:pt idx="2">
                <c:v>IUSB</c:v>
              </c:pt>
              <c:pt idx="3">
                <c:v>JCPB</c:v>
              </c:pt>
              <c:pt idx="4">
                <c:v>IAGG</c:v>
              </c:pt>
              <c:pt idx="5">
                <c:v>IBIT</c:v>
              </c:pt>
              <c:pt idx="6">
                <c:v>TFLO</c:v>
              </c:pt>
            </c:strLit>
          </c:cat>
          <c:val>
            <c:numRef>
              <c:f>'Consolidação - ETF - USA'!$D$3:$D$9</c:f>
              <c:numCache>
                <c:ptCount val="7"/>
                <c:pt idx="0">
                  <c:v>2380.412311</c:v>
                </c:pt>
                <c:pt idx="1">
                  <c:v>2418.097807</c:v>
                </c:pt>
                <c:pt idx="2">
                  <c:v>4810.802529</c:v>
                </c:pt>
                <c:pt idx="3">
                  <c:v>2408.717299</c:v>
                </c:pt>
                <c:pt idx="4">
                  <c:v>1465.200403</c:v>
                </c:pt>
                <c:pt idx="5">
                  <c:v>5981.245319</c:v>
                </c:pt>
                <c:pt idx="6">
                  <c:v>4884.930138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148348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venir Next Regular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41667"/>
          <c:y val="0.217054"/>
          <c:w val="0.716667"/>
          <c:h val="0.770446"/>
        </c:manualLayout>
      </c:layout>
      <c:pieChart>
        <c:varyColors val="0"/>
        <c:ser>
          <c:idx val="0"/>
          <c:order val="0"/>
          <c:tx>
            <c:strRef>
              <c:f>'Consolidação - FUNDOS IMOBILIÁR'!$D$2</c:f>
              <c:strCache>
                <c:ptCount val="1"/>
                <c:pt idx="0">
                  <c:v>VALOR DO FUNDO</c:v>
                </c:pt>
              </c:strCache>
            </c:strRef>
          </c:tx>
          <c:spPr>
            <a:solidFill>
              <a:srgbClr val="227AAF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rgbClr val="227AAF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2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chemeClr val="accent3">
                  <a:hueOff val="-38674"/>
                  <a:satOff val="-11856"/>
                  <a:lumOff val="-9051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Lit>
              <c:ptCount val="3"/>
              <c:pt idx="0">
                <c:v>MCCI11</c:v>
              </c:pt>
              <c:pt idx="1">
                <c:v>PCIP11</c:v>
              </c:pt>
              <c:pt idx="2">
                <c:v>CXCI11</c:v>
              </c:pt>
            </c:strLit>
          </c:cat>
          <c:val>
            <c:numRef>
              <c:f>'Consolidação - FUNDOS IMOBILIÁR'!$D$3:$D$5</c:f>
              <c:numCache>
                <c:ptCount val="3"/>
                <c:pt idx="0">
                  <c:v>16264.560000</c:v>
                </c:pt>
                <c:pt idx="1">
                  <c:v>12921.000000</c:v>
                </c:pt>
                <c:pt idx="2">
                  <c:v>803.220000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0973514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venir Next Regular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41667"/>
          <c:y val="0.20729"/>
          <c:w val="0.716667"/>
          <c:h val="0.78021"/>
        </c:manualLayout>
      </c:layout>
      <c:pieChart>
        <c:varyColors val="0"/>
        <c:ser>
          <c:idx val="0"/>
          <c:order val="0"/>
          <c:tx>
            <c:strRef>
              <c:f>'Consolidação - REIT’S'!$D$2</c:f>
              <c:strCache>
                <c:ptCount val="1"/>
                <c:pt idx="0">
                  <c:v>VALOR DO FUNDO</c:v>
                </c:pt>
              </c:strCache>
            </c:strRef>
          </c:tx>
          <c:spPr>
            <a:solidFill>
              <a:srgbClr val="2994EC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rgbClr val="2994EC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rgbClr val="E4221C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rgbClr val="7DECA2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Lit>
              <c:ptCount val="3"/>
              <c:pt idx="0">
                <c:v>PSA</c:v>
              </c:pt>
              <c:pt idx="1">
                <c:v>VICI</c:v>
              </c:pt>
              <c:pt idx="2">
                <c:v>AMT</c:v>
              </c:pt>
            </c:strLit>
          </c:cat>
          <c:val>
            <c:numRef>
              <c:f>'Consolidação - REIT’S'!$D$3:$D$5</c:f>
              <c:numCache>
                <c:ptCount val="3"/>
                <c:pt idx="0">
                  <c:v>2887.876793</c:v>
                </c:pt>
                <c:pt idx="1">
                  <c:v>2512.332575</c:v>
                </c:pt>
                <c:pt idx="2">
                  <c:v>2502.073160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094096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venir Next Regular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41667"/>
          <c:y val="0.247053"/>
          <c:w val="0.716667"/>
          <c:h val="0.740447"/>
        </c:manualLayout>
      </c:layout>
      <c:pieChart>
        <c:varyColors val="0"/>
        <c:ser>
          <c:idx val="0"/>
          <c:order val="0"/>
          <c:tx>
            <c:strRef>
              <c:f>'Consolidação - STOCKS'!$D$2</c:f>
              <c:strCache>
                <c:ptCount val="1"/>
                <c:pt idx="0">
                  <c:v>VALOR DO FUNDO</c:v>
                </c:pt>
              </c:strCache>
            </c:strRef>
          </c:tx>
          <c:spPr>
            <a:solidFill>
              <a:srgbClr val="ED3833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rgbClr val="ED3833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Lit>
              <c:ptCount val="1"/>
              <c:pt idx="0">
                <c:v>RACE</c:v>
              </c:pt>
            </c:strLit>
          </c:cat>
          <c:val>
            <c:numRef>
              <c:f>'Consolidação - STOCKS'!$D$3</c:f>
              <c:numCache>
                <c:ptCount val="1"/>
                <c:pt idx="0">
                  <c:v>3287.617660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10735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venir Next Regular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41667"/>
          <c:y val="0.217054"/>
          <c:w val="0.716667"/>
          <c:h val="0.770446"/>
        </c:manualLayout>
      </c:layout>
      <c:pieChart>
        <c:varyColors val="0"/>
        <c:ser>
          <c:idx val="0"/>
          <c:order val="0"/>
          <c:tx>
            <c:strRef>
              <c:f>'Consolidação - CDB'!$D$2</c:f>
              <c:strCache>
                <c:ptCount val="1"/>
                <c:pt idx="0">
                  <c:v>VALOR DO FUNDO</c:v>
                </c:pt>
              </c:strCache>
            </c:strRef>
          </c:tx>
          <c:spPr>
            <a:solidFill>
              <a:srgbClr val="227AAF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rgbClr val="227AAF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2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Lit>
              <c:ptCount val="2"/>
              <c:pt idx="0">
                <c:v>CDB XP JAN/28</c:v>
              </c:pt>
              <c:pt idx="1">
                <c:v>CDB XP AGO/26</c:v>
              </c:pt>
            </c:strLit>
          </c:cat>
          <c:val>
            <c:numRef>
              <c:f>'Consolidação - CDB'!$D$3:$D$4</c:f>
              <c:numCache>
                <c:ptCount val="2"/>
                <c:pt idx="0">
                  <c:v>1045.350222</c:v>
                </c:pt>
                <c:pt idx="1">
                  <c:v>1111.714211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0973514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venir Next Regular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41667"/>
          <c:y val="0.247053"/>
          <c:w val="0.716667"/>
          <c:h val="0.740447"/>
        </c:manualLayout>
      </c:layout>
      <c:pieChart>
        <c:varyColors val="0"/>
        <c:ser>
          <c:idx val="0"/>
          <c:order val="0"/>
          <c:tx>
            <c:strRef>
              <c:f>'Consolidação - CRI_CRA'!$D$2</c:f>
              <c:strCache>
                <c:ptCount val="1"/>
                <c:pt idx="0">
                  <c:v>VALOR DO FUNDO</c:v>
                </c:pt>
              </c:strCache>
            </c:strRef>
          </c:tx>
          <c:spPr>
            <a:solidFill>
              <a:srgbClr val="227AAF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rgbClr val="227AAF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2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chemeClr val="accent3">
                  <a:hueOff val="-38674"/>
                  <a:satOff val="-11856"/>
                  <a:lumOff val="-9051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rgbClr val="FFC400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Lit>
              <c:ptCount val="4"/>
              <c:pt idx="0">
                <c:v>AÇO VERDE</c:v>
              </c:pt>
              <c:pt idx="1">
                <c:v>BTG</c:v>
              </c:pt>
              <c:pt idx="2">
                <c:v>MATEUS</c:v>
              </c:pt>
              <c:pt idx="3">
                <c:v>SÃO CARLOS</c:v>
              </c:pt>
            </c:strLit>
          </c:cat>
          <c:val>
            <c:numRef>
              <c:f>'Consolidação - CRI_CRA'!$D$3:$D$6</c:f>
              <c:numCache>
                <c:ptCount val="4"/>
                <c:pt idx="0">
                  <c:v>44509.920000</c:v>
                </c:pt>
                <c:pt idx="1">
                  <c:v>86506.100000</c:v>
                </c:pt>
                <c:pt idx="2">
                  <c:v>36744.120000</c:v>
                </c:pt>
                <c:pt idx="3">
                  <c:v>44681.600000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18970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venir Next Regular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74777"/>
          <c:y val="0.270651"/>
          <c:w val="0.650446"/>
          <c:h val="0.716849"/>
        </c:manualLayout>
      </c:layout>
      <c:pieChart>
        <c:varyColors val="0"/>
        <c:ser>
          <c:idx val="0"/>
          <c:order val="0"/>
          <c:tx>
            <c:strRef>
              <c:f>'Consolidação - FUNDOS'!$D$2</c:f>
              <c:strCache>
                <c:ptCount val="1"/>
                <c:pt idx="0">
                  <c:v>VALOR DO FUNDO</c:v>
                </c:pt>
              </c:strCache>
            </c:strRef>
          </c:tx>
          <c:spPr>
            <a:solidFill>
              <a:srgbClr val="227AAF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rgbClr val="227AAF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2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Lit>
              <c:ptCount val="2"/>
              <c:pt idx="0">
                <c:v>FUNDO XP</c:v>
              </c:pt>
              <c:pt idx="1">
                <c:v>PARIBAS</c:v>
              </c:pt>
            </c:strLit>
          </c:cat>
          <c:val>
            <c:numRef>
              <c:f>'Consolidação - FUNDOS'!$D$3:$D$4</c:f>
              <c:numCache>
                <c:ptCount val="2"/>
                <c:pt idx="0">
                  <c:v>101982.030000</c:v>
                </c:pt>
                <c:pt idx="1">
                  <c:v>72382.580000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11521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venir Next Regular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41667"/>
          <c:y val="0.233185"/>
          <c:w val="0.716667"/>
          <c:h val="0.754315"/>
        </c:manualLayout>
      </c:layout>
      <c:pieChart>
        <c:varyColors val="0"/>
        <c:ser>
          <c:idx val="0"/>
          <c:order val="0"/>
          <c:tx>
            <c:strRef>
              <c:f>'Consolidação - LCI_LCA'!$D$2</c:f>
              <c:strCache>
                <c:ptCount val="1"/>
                <c:pt idx="0">
                  <c:v>VALOR DO FUNDO</c:v>
                </c:pt>
              </c:strCache>
            </c:strRef>
          </c:tx>
          <c:spPr>
            <a:solidFill>
              <a:srgbClr val="227AAF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rgbClr val="227AAF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2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Lit>
              <c:ptCount val="2"/>
              <c:pt idx="0">
                <c:v>LCI BRB</c:v>
              </c:pt>
              <c:pt idx="1">
                <c:v>BANCO RB</c:v>
              </c:pt>
            </c:strLit>
          </c:cat>
          <c:val>
            <c:numRef>
              <c:f>'Consolidação - LCI_LCA'!$D$3:$D$4</c:f>
              <c:numCache>
                <c:ptCount val="2"/>
                <c:pt idx="0">
                  <c:v>11195.500000</c:v>
                </c:pt>
                <c:pt idx="1">
                  <c:v>10823.800000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102728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venir Next Regular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41667"/>
          <c:y val="0.217054"/>
          <c:w val="0.716667"/>
          <c:h val="0.770446"/>
        </c:manualLayout>
      </c:layout>
      <c:pieChart>
        <c:varyColors val="0"/>
        <c:ser>
          <c:idx val="0"/>
          <c:order val="0"/>
          <c:tx>
            <c:strRef>
              <c:f>'Consolidação - TESOURO DIRETO'!$D$2</c:f>
              <c:strCache>
                <c:ptCount val="1"/>
                <c:pt idx="0">
                  <c:v>VALOR DO FUNDO</c:v>
                </c:pt>
              </c:strCache>
            </c:strRef>
          </c:tx>
          <c:spPr>
            <a:solidFill>
              <a:srgbClr val="29DFEF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rgbClr val="29DFEF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rgbClr val="1CCF13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rgbClr val="FB3439"/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rgbClr val="FFF83B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Avenir Next Regular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Avenir Next Regular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Lit>
              <c:ptCount val="4"/>
              <c:pt idx="0">
                <c:v>IPCA+ 2040</c:v>
              </c:pt>
              <c:pt idx="1">
                <c:v>IPCA+ 2050</c:v>
              </c:pt>
              <c:pt idx="2">
                <c:v>NTN-B 2060</c:v>
              </c:pt>
              <c:pt idx="3">
                <c:v>NTN-B 2050</c:v>
              </c:pt>
            </c:strLit>
          </c:cat>
          <c:val>
            <c:numRef>
              <c:f>'Consolidação - TESOURO DIRETO'!$D$3:$D$6</c:f>
              <c:numCache>
                <c:ptCount val="4"/>
                <c:pt idx="0">
                  <c:v>50783.957220</c:v>
                </c:pt>
                <c:pt idx="1">
                  <c:v>21036.898406</c:v>
                </c:pt>
                <c:pt idx="2">
                  <c:v>106073.662046</c:v>
                </c:pt>
                <c:pt idx="3">
                  <c:v>57185.023764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169703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Avenir Next Regular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</Relationships>
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3.xml"/></Relationships>
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4.xml"/></Relationships>
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5.xml"/></Relationships>
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6.xml"/></Relationships>
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7.xml"/></Relationships>

</file>

<file path=xl/drawings/_rels/drawing17.xml.rels><?xml version="1.0" encoding="UTF-8"?>
<Relationships xmlns="http://schemas.openxmlformats.org/package/2006/relationships"><Relationship Id="rId1" Type="http://schemas.openxmlformats.org/officeDocument/2006/relationships/chart" Target="../charts/chart8.xml"/></Relationships>

</file>

<file path=xl/drawings/_rels/drawing18.xml.rels><?xml version="1.0" encoding="UTF-8"?>
<Relationships xmlns="http://schemas.openxmlformats.org/package/2006/relationships"><Relationship Id="rId1" Type="http://schemas.openxmlformats.org/officeDocument/2006/relationships/chart" Target="../charts/chart9.xml"/></Relationships>

</file>

<file path=xl/drawings/_rels/drawing19.xml.rels><?xml version="1.0" encoding="UTF-8"?>
<Relationships xmlns="http://schemas.openxmlformats.org/package/2006/relationships"><Relationship Id="rId1" Type="http://schemas.openxmlformats.org/officeDocument/2006/relationships/chart" Target="../charts/chart10.xml"/></Relationships>

</file>

<file path=xl/drawings/_rels/drawing27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<Relationship Id="rId6" Type="http://schemas.openxmlformats.org/officeDocument/2006/relationships/chart" Target="../charts/chart16.xml"/><Relationship Id="rId7" Type="http://schemas.openxmlformats.org/officeDocument/2006/relationships/chart" Target="../charts/chart17.xml"/><Relationship Id="rId8" Type="http://schemas.openxmlformats.org/officeDocument/2006/relationships/chart" Target="../charts/chart18.xml"/><Relationship Id="rId9" Type="http://schemas.openxmlformats.org/officeDocument/2006/relationships/chart" Target="../charts/chart19.xml"/><Relationship Id="rId10" Type="http://schemas.openxmlformats.org/officeDocument/2006/relationships/chart" Target="../charts/chart20.xml"/><Relationship Id="rId11" Type="http://schemas.openxmlformats.org/officeDocument/2006/relationships/chart" Target="../charts/chart21.xml"/><Relationship Id="rId12" Type="http://schemas.openxmlformats.org/officeDocument/2006/relationships/chart" Target="../charts/chart22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3</xdr:row>
      <xdr:rowOff>152399</xdr:rowOff>
    </xdr:from>
    <xdr:to>
      <xdr:col>12</xdr:col>
      <xdr:colOff>88899</xdr:colOff>
      <xdr:row>3</xdr:row>
      <xdr:rowOff>152399</xdr:rowOff>
    </xdr:to>
    <xdr:sp>
      <xdr:nvSpPr>
        <xdr:cNvPr id="6" name="Linha"/>
        <xdr:cNvSpPr/>
      </xdr:nvSpPr>
      <xdr:spPr>
        <a:xfrm flipV="1">
          <a:off x="0" y="647699"/>
          <a:ext cx="9232900" cy="1"/>
        </a:xfrm>
        <a:prstGeom prst="line">
          <a:avLst/>
        </a:prstGeom>
        <a:noFill/>
        <a:ln w="381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8</xdr:row>
      <xdr:rowOff>50799</xdr:rowOff>
    </xdr:from>
    <xdr:to>
      <xdr:col>12</xdr:col>
      <xdr:colOff>88899</xdr:colOff>
      <xdr:row>8</xdr:row>
      <xdr:rowOff>50799</xdr:rowOff>
    </xdr:to>
    <xdr:sp>
      <xdr:nvSpPr>
        <xdr:cNvPr id="7" name="Linha"/>
        <xdr:cNvSpPr/>
      </xdr:nvSpPr>
      <xdr:spPr>
        <a:xfrm>
          <a:off x="-1" y="1371599"/>
          <a:ext cx="9232901" cy="1"/>
        </a:xfrm>
        <a:prstGeom prst="line">
          <a:avLst/>
        </a:prstGeom>
        <a:noFill/>
        <a:ln w="127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127000</xdr:colOff>
      <xdr:row>4</xdr:row>
      <xdr:rowOff>65176</xdr:rowOff>
    </xdr:to>
    <xdr:sp>
      <xdr:nvSpPr>
        <xdr:cNvPr id="8" name="Portfólio"/>
        <xdr:cNvSpPr txBox="1"/>
      </xdr:nvSpPr>
      <xdr:spPr>
        <a:xfrm>
          <a:off x="-19050" y="-47321"/>
          <a:ext cx="9271000" cy="72557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15431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defRPr>
          </a:pPr>
          <a:r>
            <a: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rPr>
            <a:t>Portfólio</a:t>
          </a:r>
        </a:p>
      </xdr:txBody>
    </xdr:sp>
    <xdr:clientData/>
  </xdr:twoCellAnchor>
  <xdr:twoCellAnchor>
    <xdr:from>
      <xdr:col>0</xdr:col>
      <xdr:colOff>0</xdr:colOff>
      <xdr:row>4</xdr:row>
      <xdr:rowOff>1905</xdr:rowOff>
    </xdr:from>
    <xdr:to>
      <xdr:col>12</xdr:col>
      <xdr:colOff>127000</xdr:colOff>
      <xdr:row>7</xdr:row>
      <xdr:rowOff>61595</xdr:rowOff>
    </xdr:to>
    <xdr:sp>
      <xdr:nvSpPr>
        <xdr:cNvPr id="9" name="COMO USAR: Veja o valor de todas as suas ações. Digite cada ação na coluna Símbolo, o número de ações possuídas na coluna Ações e o quanto foi pago por ação na coluna Preço Pago."/>
        <xdr:cNvSpPr txBox="1"/>
      </xdr:nvSpPr>
      <xdr:spPr>
        <a:xfrm>
          <a:off x="-19050" y="662305"/>
          <a:ext cx="9271000" cy="55499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rPr>
            <a:t>COMO USAR: Veja o valor de todas as suas ações. Digite cada ação na coluna Símbolo, o número de ações possuídas na coluna Ações e o quanto foi pago por ação na coluna Preço Pago. </a:t>
          </a:r>
        </a:p>
      </xdr:txBody>
    </xdr:sp>
    <xdr:clientData/>
  </xdr:twoCellAnchor>
  <xdr:twoCellAnchor>
    <xdr:from>
      <xdr:col>7</xdr:col>
      <xdr:colOff>82153</xdr:colOff>
      <xdr:row>8</xdr:row>
      <xdr:rowOff>12699</xdr:rowOff>
    </xdr:from>
    <xdr:to>
      <xdr:col>13</xdr:col>
      <xdr:colOff>632999</xdr:colOff>
      <xdr:row>30</xdr:row>
      <xdr:rowOff>77961</xdr:rowOff>
    </xdr:to>
    <xdr:grpSp>
      <xdr:nvGrpSpPr>
        <xdr:cNvPr id="12" name="Agrupar"/>
        <xdr:cNvGrpSpPr/>
      </xdr:nvGrpSpPr>
      <xdr:grpSpPr>
        <a:xfrm>
          <a:off x="5416153" y="1333499"/>
          <a:ext cx="5122847" cy="3697463"/>
          <a:chOff x="-1434152" y="-381000"/>
          <a:chExt cx="5122845" cy="3697461"/>
        </a:xfrm>
      </xdr:grpSpPr>
      <xdr:graphicFrame>
        <xdr:nvGraphicFramePr>
          <xdr:cNvPr id="10" name="Gráfico de Barras 2D"/>
          <xdr:cNvGraphicFramePr/>
        </xdr:nvGraphicFramePr>
        <xdr:xfrm>
          <a:off x="-1434153" y="-381000"/>
          <a:ext cx="5122846" cy="3268202"/>
        </xdr:xfrm>
        <a:graphic xmlns:a="http://schemas.openxmlformats.org/drawingml/2006/main">
          <a:graphicData uri="http://schemas.openxmlformats.org/drawingml/2006/chart">
            <c:chart xmlns:c="http://schemas.openxmlformats.org/drawingml/2006/chart" r:id="rId1"/>
          </a:graphicData>
        </a:graphic>
      </xdr:graphicFrame>
      <xdr:sp>
        <xdr:nvSpPr>
          <xdr:cNvPr id="11" name="Caption"/>
          <xdr:cNvSpPr/>
        </xdr:nvSpPr>
        <xdr:spPr>
          <a:xfrm>
            <a:off x="-19050" y="2965941"/>
            <a:ext cx="3577378" cy="350521"/>
          </a:xfrm>
          <a:prstGeom prst="roundRect">
            <a:avLst>
              <a:gd name="adj" fmla="val 0"/>
            </a:avLst>
          </a:prstGeom>
          <a:solidFill>
            <a:srgbClr val="000000">
              <a:alpha val="0"/>
            </a:srgbClr>
          </a:solidFill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noAutofit/>
          </a:bodyPr>
          <a:lstStyle/>
          <a:p>
            <a:pPr marL="0" marR="0" indent="0" algn="ctr" defTabSz="457200" rtl="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2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Avenir Next Regular"/>
              </a:defRPr>
            </a:pPr>
            <a:r>
              <a:rPr b="0" baseline="0" cap="none" i="0" spc="0" strike="noStrike" sz="12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Avenir Next Regular"/>
              </a:rPr>
              <a:t>Legenda</a:t>
            </a:r>
          </a:p>
        </xdr:txBody>
      </xdr:sp>
    </xdr:grpSp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3</xdr:row>
      <xdr:rowOff>152399</xdr:rowOff>
    </xdr:from>
    <xdr:to>
      <xdr:col>12</xdr:col>
      <xdr:colOff>88899</xdr:colOff>
      <xdr:row>3</xdr:row>
      <xdr:rowOff>152399</xdr:rowOff>
    </xdr:to>
    <xdr:sp>
      <xdr:nvSpPr>
        <xdr:cNvPr id="18" name="Linha"/>
        <xdr:cNvSpPr/>
      </xdr:nvSpPr>
      <xdr:spPr>
        <a:xfrm flipV="1">
          <a:off x="0" y="647699"/>
          <a:ext cx="9232900" cy="1"/>
        </a:xfrm>
        <a:prstGeom prst="line">
          <a:avLst/>
        </a:prstGeom>
        <a:noFill/>
        <a:ln w="381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8</xdr:row>
      <xdr:rowOff>50799</xdr:rowOff>
    </xdr:from>
    <xdr:to>
      <xdr:col>12</xdr:col>
      <xdr:colOff>88899</xdr:colOff>
      <xdr:row>8</xdr:row>
      <xdr:rowOff>50799</xdr:rowOff>
    </xdr:to>
    <xdr:sp>
      <xdr:nvSpPr>
        <xdr:cNvPr id="19" name="Linha"/>
        <xdr:cNvSpPr/>
      </xdr:nvSpPr>
      <xdr:spPr>
        <a:xfrm>
          <a:off x="-1" y="1371599"/>
          <a:ext cx="9232901" cy="1"/>
        </a:xfrm>
        <a:prstGeom prst="line">
          <a:avLst/>
        </a:prstGeom>
        <a:noFill/>
        <a:ln w="127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127000</xdr:colOff>
      <xdr:row>4</xdr:row>
      <xdr:rowOff>65176</xdr:rowOff>
    </xdr:to>
    <xdr:sp>
      <xdr:nvSpPr>
        <xdr:cNvPr id="20" name="Portfólio"/>
        <xdr:cNvSpPr txBox="1"/>
      </xdr:nvSpPr>
      <xdr:spPr>
        <a:xfrm>
          <a:off x="-19050" y="-47321"/>
          <a:ext cx="9271000" cy="72557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15431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defRPr>
          </a:pPr>
          <a:r>
            <a: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rPr>
            <a:t>Portfólio</a:t>
          </a:r>
        </a:p>
      </xdr:txBody>
    </xdr:sp>
    <xdr:clientData/>
  </xdr:twoCellAnchor>
  <xdr:twoCellAnchor>
    <xdr:from>
      <xdr:col>0</xdr:col>
      <xdr:colOff>0</xdr:colOff>
      <xdr:row>4</xdr:row>
      <xdr:rowOff>1905</xdr:rowOff>
    </xdr:from>
    <xdr:to>
      <xdr:col>12</xdr:col>
      <xdr:colOff>127000</xdr:colOff>
      <xdr:row>7</xdr:row>
      <xdr:rowOff>61595</xdr:rowOff>
    </xdr:to>
    <xdr:sp>
      <xdr:nvSpPr>
        <xdr:cNvPr id="21" name="COMO USAR: Veja o valor de todas as suas ações. Digite cada ação na coluna Símbolo, o número de ações possuídas na coluna Ações e o quanto foi pago por ação na coluna Preço Pago."/>
        <xdr:cNvSpPr txBox="1"/>
      </xdr:nvSpPr>
      <xdr:spPr>
        <a:xfrm>
          <a:off x="-19050" y="662305"/>
          <a:ext cx="9271000" cy="55499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rPr>
            <a:t>COMO USAR: Veja o valor de todas as suas ações. Digite cada ação na coluna Símbolo, o número de ações possuídas na coluna Ações e o quanto foi pago por ação na coluna Preço Pago. </a:t>
          </a:r>
        </a:p>
      </xdr:txBody>
    </xdr:sp>
    <xdr:clientData/>
  </xdr:twoCellAnchor>
  <xdr:twoCellAnchor>
    <xdr:from>
      <xdr:col>6</xdr:col>
      <xdr:colOff>510191</xdr:colOff>
      <xdr:row>9</xdr:row>
      <xdr:rowOff>50800</xdr:rowOff>
    </xdr:from>
    <xdr:to>
      <xdr:col>13</xdr:col>
      <xdr:colOff>335812</xdr:colOff>
      <xdr:row>36</xdr:row>
      <xdr:rowOff>65702</xdr:rowOff>
    </xdr:to>
    <xdr:graphicFrame>
      <xdr:nvGraphicFramePr>
        <xdr:cNvPr id="22" name="Gráfico de Barras 2D"/>
        <xdr:cNvGraphicFramePr/>
      </xdr:nvGraphicFramePr>
      <xdr:xfrm>
        <a:off x="5082191" y="1536700"/>
        <a:ext cx="5159622" cy="447260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3</xdr:row>
      <xdr:rowOff>152399</xdr:rowOff>
    </xdr:from>
    <xdr:to>
      <xdr:col>12</xdr:col>
      <xdr:colOff>88899</xdr:colOff>
      <xdr:row>3</xdr:row>
      <xdr:rowOff>152399</xdr:rowOff>
    </xdr:to>
    <xdr:sp>
      <xdr:nvSpPr>
        <xdr:cNvPr id="28" name="Linha"/>
        <xdr:cNvSpPr/>
      </xdr:nvSpPr>
      <xdr:spPr>
        <a:xfrm flipV="1">
          <a:off x="0" y="647699"/>
          <a:ext cx="9232900" cy="1"/>
        </a:xfrm>
        <a:prstGeom prst="line">
          <a:avLst/>
        </a:prstGeom>
        <a:noFill/>
        <a:ln w="381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8</xdr:row>
      <xdr:rowOff>50799</xdr:rowOff>
    </xdr:from>
    <xdr:to>
      <xdr:col>12</xdr:col>
      <xdr:colOff>88899</xdr:colOff>
      <xdr:row>8</xdr:row>
      <xdr:rowOff>50799</xdr:rowOff>
    </xdr:to>
    <xdr:sp>
      <xdr:nvSpPr>
        <xdr:cNvPr id="29" name="Linha"/>
        <xdr:cNvSpPr/>
      </xdr:nvSpPr>
      <xdr:spPr>
        <a:xfrm>
          <a:off x="-1" y="1371599"/>
          <a:ext cx="9232901" cy="1"/>
        </a:xfrm>
        <a:prstGeom prst="line">
          <a:avLst/>
        </a:prstGeom>
        <a:noFill/>
        <a:ln w="127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127000</xdr:colOff>
      <xdr:row>4</xdr:row>
      <xdr:rowOff>65176</xdr:rowOff>
    </xdr:to>
    <xdr:sp>
      <xdr:nvSpPr>
        <xdr:cNvPr id="30" name="Portfólio"/>
        <xdr:cNvSpPr txBox="1"/>
      </xdr:nvSpPr>
      <xdr:spPr>
        <a:xfrm>
          <a:off x="-19050" y="-47321"/>
          <a:ext cx="9271000" cy="72557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15431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defRPr>
          </a:pPr>
          <a:r>
            <a: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rPr>
            <a:t>Portfólio</a:t>
          </a:r>
        </a:p>
      </xdr:txBody>
    </xdr:sp>
    <xdr:clientData/>
  </xdr:twoCellAnchor>
  <xdr:twoCellAnchor>
    <xdr:from>
      <xdr:col>0</xdr:col>
      <xdr:colOff>0</xdr:colOff>
      <xdr:row>4</xdr:row>
      <xdr:rowOff>1905</xdr:rowOff>
    </xdr:from>
    <xdr:to>
      <xdr:col>12</xdr:col>
      <xdr:colOff>127000</xdr:colOff>
      <xdr:row>7</xdr:row>
      <xdr:rowOff>61595</xdr:rowOff>
    </xdr:to>
    <xdr:sp>
      <xdr:nvSpPr>
        <xdr:cNvPr id="31" name="COMO USAR: Veja o valor de todas as suas ações. Digite cada ação na coluna Símbolo, o número de ações possuídas na coluna Ações e o quanto foi pago por ação na coluna Preço Pago."/>
        <xdr:cNvSpPr txBox="1"/>
      </xdr:nvSpPr>
      <xdr:spPr>
        <a:xfrm>
          <a:off x="-19050" y="662305"/>
          <a:ext cx="9271000" cy="55499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rPr>
            <a:t>COMO USAR: Veja o valor de todas as suas ações. Digite cada ação na coluna Símbolo, o número de ações possuídas na coluna Ações e o quanto foi pago por ação na coluna Preço Pago. </a:t>
          </a:r>
        </a:p>
      </xdr:txBody>
    </xdr:sp>
    <xdr:clientData/>
  </xdr:twoCellAnchor>
  <xdr:twoCellAnchor>
    <xdr:from>
      <xdr:col>7</xdr:col>
      <xdr:colOff>130031</xdr:colOff>
      <xdr:row>9</xdr:row>
      <xdr:rowOff>50800</xdr:rowOff>
    </xdr:from>
    <xdr:to>
      <xdr:col>14</xdr:col>
      <xdr:colOff>204303</xdr:colOff>
      <xdr:row>41</xdr:row>
      <xdr:rowOff>31393</xdr:rowOff>
    </xdr:to>
    <xdr:graphicFrame>
      <xdr:nvGraphicFramePr>
        <xdr:cNvPr id="32" name="Gráfico de Barras 2D"/>
        <xdr:cNvGraphicFramePr/>
      </xdr:nvGraphicFramePr>
      <xdr:xfrm>
        <a:off x="5464031" y="1536700"/>
        <a:ext cx="5408273" cy="5263794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3</xdr:row>
      <xdr:rowOff>152399</xdr:rowOff>
    </xdr:from>
    <xdr:to>
      <xdr:col>12</xdr:col>
      <xdr:colOff>88899</xdr:colOff>
      <xdr:row>3</xdr:row>
      <xdr:rowOff>152399</xdr:rowOff>
    </xdr:to>
    <xdr:sp>
      <xdr:nvSpPr>
        <xdr:cNvPr id="38" name="Linha"/>
        <xdr:cNvSpPr/>
      </xdr:nvSpPr>
      <xdr:spPr>
        <a:xfrm flipV="1">
          <a:off x="0" y="647699"/>
          <a:ext cx="9232900" cy="1"/>
        </a:xfrm>
        <a:prstGeom prst="line">
          <a:avLst/>
        </a:prstGeom>
        <a:noFill/>
        <a:ln w="381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8</xdr:row>
      <xdr:rowOff>50799</xdr:rowOff>
    </xdr:from>
    <xdr:to>
      <xdr:col>12</xdr:col>
      <xdr:colOff>88899</xdr:colOff>
      <xdr:row>8</xdr:row>
      <xdr:rowOff>50799</xdr:rowOff>
    </xdr:to>
    <xdr:sp>
      <xdr:nvSpPr>
        <xdr:cNvPr id="39" name="Linha"/>
        <xdr:cNvSpPr/>
      </xdr:nvSpPr>
      <xdr:spPr>
        <a:xfrm>
          <a:off x="-1" y="1371599"/>
          <a:ext cx="9232901" cy="1"/>
        </a:xfrm>
        <a:prstGeom prst="line">
          <a:avLst/>
        </a:prstGeom>
        <a:noFill/>
        <a:ln w="127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127000</xdr:colOff>
      <xdr:row>4</xdr:row>
      <xdr:rowOff>65176</xdr:rowOff>
    </xdr:to>
    <xdr:sp>
      <xdr:nvSpPr>
        <xdr:cNvPr id="40" name="Portfólio"/>
        <xdr:cNvSpPr txBox="1"/>
      </xdr:nvSpPr>
      <xdr:spPr>
        <a:xfrm>
          <a:off x="-19050" y="-47321"/>
          <a:ext cx="9271000" cy="72557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15431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defRPr>
          </a:pPr>
          <a:r>
            <a: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rPr>
            <a:t>Portfólio</a:t>
          </a:r>
        </a:p>
      </xdr:txBody>
    </xdr:sp>
    <xdr:clientData/>
  </xdr:twoCellAnchor>
  <xdr:twoCellAnchor>
    <xdr:from>
      <xdr:col>0</xdr:col>
      <xdr:colOff>0</xdr:colOff>
      <xdr:row>4</xdr:row>
      <xdr:rowOff>1905</xdr:rowOff>
    </xdr:from>
    <xdr:to>
      <xdr:col>12</xdr:col>
      <xdr:colOff>127000</xdr:colOff>
      <xdr:row>7</xdr:row>
      <xdr:rowOff>61595</xdr:rowOff>
    </xdr:to>
    <xdr:sp>
      <xdr:nvSpPr>
        <xdr:cNvPr id="41" name="COMO USAR: Veja o valor de todas as suas ações. Digite cada ação na coluna Símbolo, o número de ações possuídas na coluna Ações e o quanto foi pago por ação na coluna Preço Pago."/>
        <xdr:cNvSpPr txBox="1"/>
      </xdr:nvSpPr>
      <xdr:spPr>
        <a:xfrm>
          <a:off x="-19050" y="662305"/>
          <a:ext cx="9271000" cy="55499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rPr>
            <a:t>COMO USAR: Veja o valor de todas as suas ações. Digite cada ação na coluna Símbolo, o número de ações possuídas na coluna Ações e o quanto foi pago por ação na coluna Preço Pago. </a:t>
          </a:r>
        </a:p>
      </xdr:txBody>
    </xdr:sp>
    <xdr:clientData/>
  </xdr:twoCellAnchor>
  <xdr:twoCellAnchor>
    <xdr:from>
      <xdr:col>6</xdr:col>
      <xdr:colOff>539501</xdr:colOff>
      <xdr:row>9</xdr:row>
      <xdr:rowOff>50800</xdr:rowOff>
    </xdr:from>
    <xdr:to>
      <xdr:col>13</xdr:col>
      <xdr:colOff>16529</xdr:colOff>
      <xdr:row>29</xdr:row>
      <xdr:rowOff>4382</xdr:rowOff>
    </xdr:to>
    <xdr:graphicFrame>
      <xdr:nvGraphicFramePr>
        <xdr:cNvPr id="42" name="Gráfico de Barras 2D"/>
        <xdr:cNvGraphicFramePr/>
      </xdr:nvGraphicFramePr>
      <xdr:xfrm>
        <a:off x="5111501" y="1536700"/>
        <a:ext cx="4811029" cy="325558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1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3</xdr:row>
      <xdr:rowOff>152399</xdr:rowOff>
    </xdr:from>
    <xdr:to>
      <xdr:col>12</xdr:col>
      <xdr:colOff>88899</xdr:colOff>
      <xdr:row>3</xdr:row>
      <xdr:rowOff>152399</xdr:rowOff>
    </xdr:to>
    <xdr:sp>
      <xdr:nvSpPr>
        <xdr:cNvPr id="51" name="Linha"/>
        <xdr:cNvSpPr/>
      </xdr:nvSpPr>
      <xdr:spPr>
        <a:xfrm flipV="1">
          <a:off x="0" y="647699"/>
          <a:ext cx="9232900" cy="1"/>
        </a:xfrm>
        <a:prstGeom prst="line">
          <a:avLst/>
        </a:prstGeom>
        <a:noFill/>
        <a:ln w="381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8</xdr:row>
      <xdr:rowOff>50799</xdr:rowOff>
    </xdr:from>
    <xdr:to>
      <xdr:col>12</xdr:col>
      <xdr:colOff>88899</xdr:colOff>
      <xdr:row>8</xdr:row>
      <xdr:rowOff>50799</xdr:rowOff>
    </xdr:to>
    <xdr:sp>
      <xdr:nvSpPr>
        <xdr:cNvPr id="52" name="Linha"/>
        <xdr:cNvSpPr/>
      </xdr:nvSpPr>
      <xdr:spPr>
        <a:xfrm>
          <a:off x="-1" y="1371599"/>
          <a:ext cx="9232901" cy="1"/>
        </a:xfrm>
        <a:prstGeom prst="line">
          <a:avLst/>
        </a:prstGeom>
        <a:noFill/>
        <a:ln w="127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127000</xdr:colOff>
      <xdr:row>4</xdr:row>
      <xdr:rowOff>65176</xdr:rowOff>
    </xdr:to>
    <xdr:sp>
      <xdr:nvSpPr>
        <xdr:cNvPr id="53" name="Portfólio"/>
        <xdr:cNvSpPr txBox="1"/>
      </xdr:nvSpPr>
      <xdr:spPr>
        <a:xfrm>
          <a:off x="-19050" y="-47321"/>
          <a:ext cx="9271000" cy="72557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15431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defRPr>
          </a:pPr>
          <a:r>
            <a: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rPr>
            <a:t>Portfólio</a:t>
          </a:r>
        </a:p>
      </xdr:txBody>
    </xdr:sp>
    <xdr:clientData/>
  </xdr:twoCellAnchor>
  <xdr:twoCellAnchor>
    <xdr:from>
      <xdr:col>0</xdr:col>
      <xdr:colOff>0</xdr:colOff>
      <xdr:row>4</xdr:row>
      <xdr:rowOff>1905</xdr:rowOff>
    </xdr:from>
    <xdr:to>
      <xdr:col>12</xdr:col>
      <xdr:colOff>127000</xdr:colOff>
      <xdr:row>7</xdr:row>
      <xdr:rowOff>61595</xdr:rowOff>
    </xdr:to>
    <xdr:sp>
      <xdr:nvSpPr>
        <xdr:cNvPr id="54" name="COMO USAR: Veja o valor de todas as suas ações. Digite cada ação na coluna Símbolo, o número de ações possuídas na coluna Ações e o quanto foi pago por ação na coluna Preço Pago."/>
        <xdr:cNvSpPr txBox="1"/>
      </xdr:nvSpPr>
      <xdr:spPr>
        <a:xfrm>
          <a:off x="-19050" y="662305"/>
          <a:ext cx="9271000" cy="55499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rPr>
            <a:t>COMO USAR: Veja o valor de todas as suas ações. Digite cada ação na coluna Símbolo, o número de ações possuídas na coluna Ações e o quanto foi pago por ação na coluna Preço Pago. </a:t>
          </a:r>
        </a:p>
      </xdr:txBody>
    </xdr:sp>
    <xdr:clientData/>
  </xdr:twoCellAnchor>
  <xdr:twoCellAnchor>
    <xdr:from>
      <xdr:col>6</xdr:col>
      <xdr:colOff>670955</xdr:colOff>
      <xdr:row>8</xdr:row>
      <xdr:rowOff>153480</xdr:rowOff>
    </xdr:from>
    <xdr:to>
      <xdr:col>13</xdr:col>
      <xdr:colOff>153183</xdr:colOff>
      <xdr:row>28</xdr:row>
      <xdr:rowOff>24178</xdr:rowOff>
    </xdr:to>
    <xdr:graphicFrame>
      <xdr:nvGraphicFramePr>
        <xdr:cNvPr id="55" name="Gráfico de Barras 2D"/>
        <xdr:cNvGraphicFramePr/>
      </xdr:nvGraphicFramePr>
      <xdr:xfrm>
        <a:off x="5242955" y="1474280"/>
        <a:ext cx="4816229" cy="317269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1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3</xdr:row>
      <xdr:rowOff>152399</xdr:rowOff>
    </xdr:from>
    <xdr:to>
      <xdr:col>12</xdr:col>
      <xdr:colOff>88899</xdr:colOff>
      <xdr:row>3</xdr:row>
      <xdr:rowOff>152399</xdr:rowOff>
    </xdr:to>
    <xdr:sp>
      <xdr:nvSpPr>
        <xdr:cNvPr id="61" name="Linha"/>
        <xdr:cNvSpPr/>
      </xdr:nvSpPr>
      <xdr:spPr>
        <a:xfrm flipV="1">
          <a:off x="0" y="647699"/>
          <a:ext cx="9232900" cy="1"/>
        </a:xfrm>
        <a:prstGeom prst="line">
          <a:avLst/>
        </a:prstGeom>
        <a:noFill/>
        <a:ln w="381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8</xdr:row>
      <xdr:rowOff>50799</xdr:rowOff>
    </xdr:from>
    <xdr:to>
      <xdr:col>12</xdr:col>
      <xdr:colOff>88899</xdr:colOff>
      <xdr:row>8</xdr:row>
      <xdr:rowOff>50799</xdr:rowOff>
    </xdr:to>
    <xdr:sp>
      <xdr:nvSpPr>
        <xdr:cNvPr id="62" name="Linha"/>
        <xdr:cNvSpPr/>
      </xdr:nvSpPr>
      <xdr:spPr>
        <a:xfrm>
          <a:off x="-1" y="1371599"/>
          <a:ext cx="9232901" cy="1"/>
        </a:xfrm>
        <a:prstGeom prst="line">
          <a:avLst/>
        </a:prstGeom>
        <a:noFill/>
        <a:ln w="127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127000</xdr:colOff>
      <xdr:row>4</xdr:row>
      <xdr:rowOff>65176</xdr:rowOff>
    </xdr:to>
    <xdr:sp>
      <xdr:nvSpPr>
        <xdr:cNvPr id="63" name="Portfólio"/>
        <xdr:cNvSpPr txBox="1"/>
      </xdr:nvSpPr>
      <xdr:spPr>
        <a:xfrm>
          <a:off x="-19050" y="-47321"/>
          <a:ext cx="9271000" cy="72557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15431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defRPr>
          </a:pPr>
          <a:r>
            <a: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rPr>
            <a:t>Portfólio</a:t>
          </a:r>
        </a:p>
      </xdr:txBody>
    </xdr:sp>
    <xdr:clientData/>
  </xdr:twoCellAnchor>
  <xdr:twoCellAnchor>
    <xdr:from>
      <xdr:col>0</xdr:col>
      <xdr:colOff>0</xdr:colOff>
      <xdr:row>4</xdr:row>
      <xdr:rowOff>1905</xdr:rowOff>
    </xdr:from>
    <xdr:to>
      <xdr:col>12</xdr:col>
      <xdr:colOff>127000</xdr:colOff>
      <xdr:row>7</xdr:row>
      <xdr:rowOff>61595</xdr:rowOff>
    </xdr:to>
    <xdr:sp>
      <xdr:nvSpPr>
        <xdr:cNvPr id="64" name="COMO USAR: Veja o valor de todas as suas ações. Digite cada ação na coluna Símbolo, o número de ações possuídas na coluna Ações e o quanto foi pago por ação na coluna Preço Pago."/>
        <xdr:cNvSpPr txBox="1"/>
      </xdr:nvSpPr>
      <xdr:spPr>
        <a:xfrm>
          <a:off x="-19050" y="662305"/>
          <a:ext cx="9271000" cy="55499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rPr>
            <a:t>COMO USAR: Veja o valor de todas as suas ações. Digite cada ação na coluna Símbolo, o número de ações possuídas na coluna Ações e o quanto foi pago por ação na coluna Preço Pago. </a:t>
          </a:r>
        </a:p>
      </xdr:txBody>
    </xdr:sp>
    <xdr:clientData/>
  </xdr:twoCellAnchor>
  <xdr:twoCellAnchor>
    <xdr:from>
      <xdr:col>6</xdr:col>
      <xdr:colOff>290975</xdr:colOff>
      <xdr:row>8</xdr:row>
      <xdr:rowOff>38100</xdr:rowOff>
    </xdr:from>
    <xdr:to>
      <xdr:col>12</xdr:col>
      <xdr:colOff>238315</xdr:colOff>
      <xdr:row>31</xdr:row>
      <xdr:rowOff>160748</xdr:rowOff>
    </xdr:to>
    <xdr:graphicFrame>
      <xdr:nvGraphicFramePr>
        <xdr:cNvPr id="65" name="Gráfico de Barras 2D"/>
        <xdr:cNvGraphicFramePr/>
      </xdr:nvGraphicFramePr>
      <xdr:xfrm>
        <a:off x="4862975" y="1358900"/>
        <a:ext cx="4519341" cy="391994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1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1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3</xdr:row>
      <xdr:rowOff>152399</xdr:rowOff>
    </xdr:from>
    <xdr:to>
      <xdr:col>12</xdr:col>
      <xdr:colOff>88899</xdr:colOff>
      <xdr:row>3</xdr:row>
      <xdr:rowOff>152399</xdr:rowOff>
    </xdr:to>
    <xdr:sp>
      <xdr:nvSpPr>
        <xdr:cNvPr id="70" name="Linha"/>
        <xdr:cNvSpPr/>
      </xdr:nvSpPr>
      <xdr:spPr>
        <a:xfrm flipV="1">
          <a:off x="0" y="647699"/>
          <a:ext cx="9232900" cy="1"/>
        </a:xfrm>
        <a:prstGeom prst="line">
          <a:avLst/>
        </a:prstGeom>
        <a:noFill/>
        <a:ln w="381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8</xdr:row>
      <xdr:rowOff>50799</xdr:rowOff>
    </xdr:from>
    <xdr:to>
      <xdr:col>12</xdr:col>
      <xdr:colOff>88899</xdr:colOff>
      <xdr:row>8</xdr:row>
      <xdr:rowOff>50799</xdr:rowOff>
    </xdr:to>
    <xdr:sp>
      <xdr:nvSpPr>
        <xdr:cNvPr id="71" name="Linha"/>
        <xdr:cNvSpPr/>
      </xdr:nvSpPr>
      <xdr:spPr>
        <a:xfrm>
          <a:off x="-1" y="1371599"/>
          <a:ext cx="9232901" cy="1"/>
        </a:xfrm>
        <a:prstGeom prst="line">
          <a:avLst/>
        </a:prstGeom>
        <a:noFill/>
        <a:ln w="127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127000</xdr:colOff>
      <xdr:row>4</xdr:row>
      <xdr:rowOff>65176</xdr:rowOff>
    </xdr:to>
    <xdr:sp>
      <xdr:nvSpPr>
        <xdr:cNvPr id="72" name="Portfólio"/>
        <xdr:cNvSpPr txBox="1"/>
      </xdr:nvSpPr>
      <xdr:spPr>
        <a:xfrm>
          <a:off x="-19050" y="-47321"/>
          <a:ext cx="9271000" cy="72557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15431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defRPr>
          </a:pPr>
          <a:r>
            <a: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rPr>
            <a:t>Portfólio</a:t>
          </a:r>
        </a:p>
      </xdr:txBody>
    </xdr:sp>
    <xdr:clientData/>
  </xdr:twoCellAnchor>
  <xdr:twoCellAnchor>
    <xdr:from>
      <xdr:col>0</xdr:col>
      <xdr:colOff>0</xdr:colOff>
      <xdr:row>4</xdr:row>
      <xdr:rowOff>1905</xdr:rowOff>
    </xdr:from>
    <xdr:to>
      <xdr:col>12</xdr:col>
      <xdr:colOff>127000</xdr:colOff>
      <xdr:row>7</xdr:row>
      <xdr:rowOff>61595</xdr:rowOff>
    </xdr:to>
    <xdr:sp>
      <xdr:nvSpPr>
        <xdr:cNvPr id="73" name="COMO USAR: Veja o valor de todas as suas ações. Digite cada ação na coluna Símbolo, o número de ações possuídas na coluna Ações e o quanto foi pago por ação na coluna Preço Pago."/>
        <xdr:cNvSpPr txBox="1"/>
      </xdr:nvSpPr>
      <xdr:spPr>
        <a:xfrm>
          <a:off x="-19050" y="662305"/>
          <a:ext cx="9271000" cy="55499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rPr>
            <a:t>COMO USAR: Veja o valor de todas as suas ações. Digite cada ação na coluna Símbolo, o número de ações possuídas na coluna Ações e o quanto foi pago por ação na coluna Preço Pago. </a:t>
          </a:r>
        </a:p>
      </xdr:txBody>
    </xdr:sp>
    <xdr:clientData/>
  </xdr:twoCellAnchor>
  <xdr:twoCellAnchor>
    <xdr:from>
      <xdr:col>6</xdr:col>
      <xdr:colOff>707141</xdr:colOff>
      <xdr:row>13</xdr:row>
      <xdr:rowOff>7470</xdr:rowOff>
    </xdr:from>
    <xdr:to>
      <xdr:col>14</xdr:col>
      <xdr:colOff>138269</xdr:colOff>
      <xdr:row>37</xdr:row>
      <xdr:rowOff>94350</xdr:rowOff>
    </xdr:to>
    <xdr:graphicFrame>
      <xdr:nvGraphicFramePr>
        <xdr:cNvPr id="74" name="Gráfico de Barras 2D"/>
        <xdr:cNvGraphicFramePr/>
      </xdr:nvGraphicFramePr>
      <xdr:xfrm>
        <a:off x="5279141" y="2153770"/>
        <a:ext cx="5527129" cy="404928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3</xdr:row>
      <xdr:rowOff>152399</xdr:rowOff>
    </xdr:from>
    <xdr:to>
      <xdr:col>12</xdr:col>
      <xdr:colOff>88899</xdr:colOff>
      <xdr:row>3</xdr:row>
      <xdr:rowOff>152399</xdr:rowOff>
    </xdr:to>
    <xdr:sp>
      <xdr:nvSpPr>
        <xdr:cNvPr id="76" name="Linha"/>
        <xdr:cNvSpPr/>
      </xdr:nvSpPr>
      <xdr:spPr>
        <a:xfrm flipV="1">
          <a:off x="0" y="647699"/>
          <a:ext cx="9232900" cy="1"/>
        </a:xfrm>
        <a:prstGeom prst="line">
          <a:avLst/>
        </a:prstGeom>
        <a:noFill/>
        <a:ln w="381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8</xdr:row>
      <xdr:rowOff>50799</xdr:rowOff>
    </xdr:from>
    <xdr:to>
      <xdr:col>12</xdr:col>
      <xdr:colOff>88899</xdr:colOff>
      <xdr:row>8</xdr:row>
      <xdr:rowOff>50799</xdr:rowOff>
    </xdr:to>
    <xdr:sp>
      <xdr:nvSpPr>
        <xdr:cNvPr id="77" name="Linha"/>
        <xdr:cNvSpPr/>
      </xdr:nvSpPr>
      <xdr:spPr>
        <a:xfrm>
          <a:off x="-1" y="1371599"/>
          <a:ext cx="9232901" cy="1"/>
        </a:xfrm>
        <a:prstGeom prst="line">
          <a:avLst/>
        </a:prstGeom>
        <a:noFill/>
        <a:ln w="127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127000</xdr:colOff>
      <xdr:row>4</xdr:row>
      <xdr:rowOff>65176</xdr:rowOff>
    </xdr:to>
    <xdr:sp>
      <xdr:nvSpPr>
        <xdr:cNvPr id="78" name="Portfólio"/>
        <xdr:cNvSpPr txBox="1"/>
      </xdr:nvSpPr>
      <xdr:spPr>
        <a:xfrm>
          <a:off x="-19050" y="-47321"/>
          <a:ext cx="9271000" cy="72557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15431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defRPr>
          </a:pPr>
          <a:r>
            <a: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rPr>
            <a:t>Portfólio</a:t>
          </a:r>
        </a:p>
      </xdr:txBody>
    </xdr:sp>
    <xdr:clientData/>
  </xdr:twoCellAnchor>
  <xdr:twoCellAnchor>
    <xdr:from>
      <xdr:col>0</xdr:col>
      <xdr:colOff>0</xdr:colOff>
      <xdr:row>4</xdr:row>
      <xdr:rowOff>1905</xdr:rowOff>
    </xdr:from>
    <xdr:to>
      <xdr:col>12</xdr:col>
      <xdr:colOff>127000</xdr:colOff>
      <xdr:row>7</xdr:row>
      <xdr:rowOff>61595</xdr:rowOff>
    </xdr:to>
    <xdr:sp>
      <xdr:nvSpPr>
        <xdr:cNvPr id="79" name="COMO USAR: Veja o valor de todas as suas ações. Digite cada ação na coluna Símbolo, o número de ações possuídas na coluna Ações e o quanto foi pago por ação na coluna Preço Pago."/>
        <xdr:cNvSpPr txBox="1"/>
      </xdr:nvSpPr>
      <xdr:spPr>
        <a:xfrm>
          <a:off x="-19050" y="662305"/>
          <a:ext cx="9271000" cy="55499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rPr>
            <a:t>COMO USAR: Veja o valor de todas as suas ações. Digite cada ação na coluna Símbolo, o número de ações possuídas na coluna Ações e o quanto foi pago por ação na coluna Preço Pago. </a:t>
          </a:r>
        </a:p>
      </xdr:txBody>
    </xdr:sp>
    <xdr:clientData/>
  </xdr:twoCellAnchor>
  <xdr:twoCellAnchor>
    <xdr:from>
      <xdr:col>6</xdr:col>
      <xdr:colOff>229175</xdr:colOff>
      <xdr:row>9</xdr:row>
      <xdr:rowOff>76200</xdr:rowOff>
    </xdr:from>
    <xdr:to>
      <xdr:col>13</xdr:col>
      <xdr:colOff>597141</xdr:colOff>
      <xdr:row>32</xdr:row>
      <xdr:rowOff>44025</xdr:rowOff>
    </xdr:to>
    <xdr:graphicFrame>
      <xdr:nvGraphicFramePr>
        <xdr:cNvPr id="80" name="Gráfico de Barras 2D"/>
        <xdr:cNvGraphicFramePr/>
      </xdr:nvGraphicFramePr>
      <xdr:xfrm>
        <a:off x="4801175" y="1562100"/>
        <a:ext cx="5701967" cy="376512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3</xdr:row>
      <xdr:rowOff>152399</xdr:rowOff>
    </xdr:from>
    <xdr:to>
      <xdr:col>12</xdr:col>
      <xdr:colOff>88899</xdr:colOff>
      <xdr:row>3</xdr:row>
      <xdr:rowOff>152399</xdr:rowOff>
    </xdr:to>
    <xdr:sp>
      <xdr:nvSpPr>
        <xdr:cNvPr id="82" name="Linha"/>
        <xdr:cNvSpPr/>
      </xdr:nvSpPr>
      <xdr:spPr>
        <a:xfrm flipV="1">
          <a:off x="0" y="647699"/>
          <a:ext cx="9232900" cy="1"/>
        </a:xfrm>
        <a:prstGeom prst="line">
          <a:avLst/>
        </a:prstGeom>
        <a:noFill/>
        <a:ln w="381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8</xdr:row>
      <xdr:rowOff>50799</xdr:rowOff>
    </xdr:from>
    <xdr:to>
      <xdr:col>12</xdr:col>
      <xdr:colOff>88899</xdr:colOff>
      <xdr:row>8</xdr:row>
      <xdr:rowOff>50799</xdr:rowOff>
    </xdr:to>
    <xdr:sp>
      <xdr:nvSpPr>
        <xdr:cNvPr id="83" name="Linha"/>
        <xdr:cNvSpPr/>
      </xdr:nvSpPr>
      <xdr:spPr>
        <a:xfrm>
          <a:off x="-1" y="1371599"/>
          <a:ext cx="9232901" cy="1"/>
        </a:xfrm>
        <a:prstGeom prst="line">
          <a:avLst/>
        </a:prstGeom>
        <a:noFill/>
        <a:ln w="127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127000</xdr:colOff>
      <xdr:row>4</xdr:row>
      <xdr:rowOff>65176</xdr:rowOff>
    </xdr:to>
    <xdr:sp>
      <xdr:nvSpPr>
        <xdr:cNvPr id="84" name="Portfólio"/>
        <xdr:cNvSpPr txBox="1"/>
      </xdr:nvSpPr>
      <xdr:spPr>
        <a:xfrm>
          <a:off x="-19050" y="-47321"/>
          <a:ext cx="9271000" cy="72557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15431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defRPr>
          </a:pPr>
          <a:r>
            <a: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rPr>
            <a:t>Portfólio</a:t>
          </a:r>
        </a:p>
      </xdr:txBody>
    </xdr:sp>
    <xdr:clientData/>
  </xdr:twoCellAnchor>
  <xdr:twoCellAnchor>
    <xdr:from>
      <xdr:col>0</xdr:col>
      <xdr:colOff>0</xdr:colOff>
      <xdr:row>4</xdr:row>
      <xdr:rowOff>1905</xdr:rowOff>
    </xdr:from>
    <xdr:to>
      <xdr:col>12</xdr:col>
      <xdr:colOff>127000</xdr:colOff>
      <xdr:row>7</xdr:row>
      <xdr:rowOff>61595</xdr:rowOff>
    </xdr:to>
    <xdr:sp>
      <xdr:nvSpPr>
        <xdr:cNvPr id="85" name="COMO USAR: Veja o valor de todas as suas ações. Digite cada ação na coluna Símbolo, o número de ações possuídas na coluna Ações e o quanto foi pago por ação na coluna Preço Pago."/>
        <xdr:cNvSpPr txBox="1"/>
      </xdr:nvSpPr>
      <xdr:spPr>
        <a:xfrm>
          <a:off x="-19050" y="662305"/>
          <a:ext cx="9271000" cy="55499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rPr>
            <a:t>COMO USAR: Veja o valor de todas as suas ações. Digite cada ação na coluna Símbolo, o número de ações possuídas na coluna Ações e o quanto foi pago por ação na coluna Preço Pago. </a:t>
          </a:r>
        </a:p>
      </xdr:txBody>
    </xdr:sp>
    <xdr:clientData/>
  </xdr:twoCellAnchor>
  <xdr:twoCellAnchor>
    <xdr:from>
      <xdr:col>6</xdr:col>
      <xdr:colOff>184056</xdr:colOff>
      <xdr:row>10</xdr:row>
      <xdr:rowOff>77531</xdr:rowOff>
    </xdr:from>
    <xdr:to>
      <xdr:col>12</xdr:col>
      <xdr:colOff>286054</xdr:colOff>
      <xdr:row>34</xdr:row>
      <xdr:rowOff>141902</xdr:rowOff>
    </xdr:to>
    <xdr:graphicFrame>
      <xdr:nvGraphicFramePr>
        <xdr:cNvPr id="86" name="Gráfico de Barras 2D"/>
        <xdr:cNvGraphicFramePr/>
      </xdr:nvGraphicFramePr>
      <xdr:xfrm>
        <a:off x="4756056" y="1728531"/>
        <a:ext cx="4673999" cy="402677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3</xdr:row>
      <xdr:rowOff>152399</xdr:rowOff>
    </xdr:from>
    <xdr:to>
      <xdr:col>12</xdr:col>
      <xdr:colOff>88899</xdr:colOff>
      <xdr:row>3</xdr:row>
      <xdr:rowOff>152399</xdr:rowOff>
    </xdr:to>
    <xdr:sp>
      <xdr:nvSpPr>
        <xdr:cNvPr id="88" name="Linha"/>
        <xdr:cNvSpPr/>
      </xdr:nvSpPr>
      <xdr:spPr>
        <a:xfrm flipV="1">
          <a:off x="0" y="647699"/>
          <a:ext cx="9232900" cy="1"/>
        </a:xfrm>
        <a:prstGeom prst="line">
          <a:avLst/>
        </a:prstGeom>
        <a:noFill/>
        <a:ln w="381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8</xdr:row>
      <xdr:rowOff>50799</xdr:rowOff>
    </xdr:from>
    <xdr:to>
      <xdr:col>12</xdr:col>
      <xdr:colOff>88899</xdr:colOff>
      <xdr:row>8</xdr:row>
      <xdr:rowOff>50799</xdr:rowOff>
    </xdr:to>
    <xdr:sp>
      <xdr:nvSpPr>
        <xdr:cNvPr id="89" name="Linha"/>
        <xdr:cNvSpPr/>
      </xdr:nvSpPr>
      <xdr:spPr>
        <a:xfrm>
          <a:off x="-1" y="1371599"/>
          <a:ext cx="9232901" cy="1"/>
        </a:xfrm>
        <a:prstGeom prst="line">
          <a:avLst/>
        </a:prstGeom>
        <a:noFill/>
        <a:ln w="127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127000</xdr:colOff>
      <xdr:row>4</xdr:row>
      <xdr:rowOff>65176</xdr:rowOff>
    </xdr:to>
    <xdr:sp>
      <xdr:nvSpPr>
        <xdr:cNvPr id="90" name="Portfólio"/>
        <xdr:cNvSpPr txBox="1"/>
      </xdr:nvSpPr>
      <xdr:spPr>
        <a:xfrm>
          <a:off x="-19050" y="-47321"/>
          <a:ext cx="9271000" cy="72557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15431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defRPr>
          </a:pPr>
          <a:r>
            <a:rPr b="1" baseline="0" cap="none" i="0" spc="0" strike="noStrike" sz="3200" u="none">
              <a:solidFill>
                <a:srgbClr val="4A4A4A"/>
              </a:solidFill>
              <a:uFillTx/>
              <a:latin typeface="+mj-lt"/>
              <a:ea typeface="+mj-ea"/>
              <a:cs typeface="+mj-cs"/>
              <a:sym typeface="Publico Headline Roman"/>
            </a:rPr>
            <a:t>Portfólio</a:t>
          </a:r>
        </a:p>
      </xdr:txBody>
    </xdr:sp>
    <xdr:clientData/>
  </xdr:twoCellAnchor>
  <xdr:twoCellAnchor>
    <xdr:from>
      <xdr:col>0</xdr:col>
      <xdr:colOff>0</xdr:colOff>
      <xdr:row>4</xdr:row>
      <xdr:rowOff>1905</xdr:rowOff>
    </xdr:from>
    <xdr:to>
      <xdr:col>12</xdr:col>
      <xdr:colOff>127000</xdr:colOff>
      <xdr:row>7</xdr:row>
      <xdr:rowOff>61595</xdr:rowOff>
    </xdr:to>
    <xdr:sp>
      <xdr:nvSpPr>
        <xdr:cNvPr id="91" name="COMO USAR: Veja o valor de todas as suas ações. Digite cada ação na coluna Símbolo, o número de ações possuídas na coluna Ações e o quanto foi pago por ação na coluna Preço Pago."/>
        <xdr:cNvSpPr txBox="1"/>
      </xdr:nvSpPr>
      <xdr:spPr>
        <a:xfrm>
          <a:off x="-19050" y="662305"/>
          <a:ext cx="9271000" cy="55499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rPr>
            <a:t>COMO USAR: Veja o valor de todas as suas ações. Digite cada ação na coluna Símbolo, o número de ações possuídas na coluna Ações e o quanto foi pago por ação na coluna Preço Pago. </a:t>
          </a:r>
        </a:p>
      </xdr:txBody>
    </xdr:sp>
    <xdr:clientData/>
  </xdr:twoCellAnchor>
  <xdr:twoCellAnchor>
    <xdr:from>
      <xdr:col>6</xdr:col>
      <xdr:colOff>156144</xdr:colOff>
      <xdr:row>9</xdr:row>
      <xdr:rowOff>156615</xdr:rowOff>
    </xdr:from>
    <xdr:to>
      <xdr:col>12</xdr:col>
      <xdr:colOff>88899</xdr:colOff>
      <xdr:row>27</xdr:row>
      <xdr:rowOff>68086</xdr:rowOff>
    </xdr:to>
    <xdr:graphicFrame>
      <xdr:nvGraphicFramePr>
        <xdr:cNvPr id="92" name="Gráfico de Barras 2D"/>
        <xdr:cNvGraphicFramePr/>
      </xdr:nvGraphicFramePr>
      <xdr:xfrm>
        <a:off x="4728144" y="1642515"/>
        <a:ext cx="4504756" cy="2883272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2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2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2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2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2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2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2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705731</xdr:colOff>
      <xdr:row>0</xdr:row>
      <xdr:rowOff>0</xdr:rowOff>
    </xdr:from>
    <xdr:to>
      <xdr:col>9</xdr:col>
      <xdr:colOff>294251</xdr:colOff>
      <xdr:row>13</xdr:row>
      <xdr:rowOff>153928</xdr:rowOff>
    </xdr:to>
    <xdr:graphicFrame>
      <xdr:nvGraphicFramePr>
        <xdr:cNvPr id="138" name="Gráfico de Pizza 2D"/>
        <xdr:cNvGraphicFramePr/>
      </xdr:nvGraphicFramePr>
      <xdr:xfrm>
        <a:off x="3753731" y="-285691"/>
        <a:ext cx="3398521" cy="230022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10</xdr:col>
      <xdr:colOff>64266</xdr:colOff>
      <xdr:row>1</xdr:row>
      <xdr:rowOff>15874</xdr:rowOff>
    </xdr:from>
    <xdr:to>
      <xdr:col>17</xdr:col>
      <xdr:colOff>390870</xdr:colOff>
      <xdr:row>33</xdr:row>
      <xdr:rowOff>104328</xdr:rowOff>
    </xdr:to>
    <xdr:grpSp>
      <xdr:nvGrpSpPr>
        <xdr:cNvPr id="141" name="Agrupar"/>
        <xdr:cNvGrpSpPr/>
      </xdr:nvGrpSpPr>
      <xdr:grpSpPr>
        <a:xfrm>
          <a:off x="7684266" y="180974"/>
          <a:ext cx="5660605" cy="5371655"/>
          <a:chOff x="-1317105" y="-603061"/>
          <a:chExt cx="5660604" cy="5371653"/>
        </a:xfrm>
      </xdr:grpSpPr>
      <xdr:graphicFrame>
        <xdr:nvGraphicFramePr>
          <xdr:cNvPr id="139" name="Gráfico de Pizza 3D"/>
          <xdr:cNvGraphicFramePr/>
        </xdr:nvGraphicFramePr>
        <xdr:xfrm>
          <a:off x="-1317106" y="-603062"/>
          <a:ext cx="5627187" cy="4942395"/>
        </xdr:xfrm>
        <a:graphic xmlns:a="http://schemas.openxmlformats.org/drawingml/2006/main">
          <a:graphicData uri="http://schemas.openxmlformats.org/drawingml/2006/chart">
            <c:chart xmlns:c="http://schemas.openxmlformats.org/drawingml/2006/chart" r:id="rId2"/>
          </a:graphicData>
        </a:graphic>
      </xdr:graphicFrame>
      <xdr:sp>
        <xdr:nvSpPr>
          <xdr:cNvPr id="140" name="Caption"/>
          <xdr:cNvSpPr/>
        </xdr:nvSpPr>
        <xdr:spPr>
          <a:xfrm>
            <a:off x="-3462" y="4418072"/>
            <a:ext cx="4346961" cy="350521"/>
          </a:xfrm>
          <a:prstGeom prst="roundRect">
            <a:avLst>
              <a:gd name="adj" fmla="val 0"/>
            </a:avLst>
          </a:prstGeom>
          <a:solidFill>
            <a:srgbClr val="000000">
              <a:alpha val="0"/>
            </a:srgbClr>
          </a:solidFill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noAutofit/>
          </a:bodyPr>
          <a:lstStyle/>
          <a:p>
            <a:pPr marL="0" marR="0" indent="0" algn="ctr" defTabSz="457200" rtl="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2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Avenir Next Regular"/>
              </a:defRPr>
            </a:pPr>
            <a:r>
              <a:rPr b="0" baseline="0" cap="none" i="0" spc="0" strike="noStrike" sz="12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Avenir Next Regular"/>
              </a:rPr>
              <a:t>Legenda</a:t>
            </a:r>
          </a:p>
        </xdr:txBody>
      </xdr:sp>
    </xdr:grpSp>
    <xdr:clientData/>
  </xdr:twoCellAnchor>
  <xdr:twoCellAnchor>
    <xdr:from>
      <xdr:col>6</xdr:col>
      <xdr:colOff>228611</xdr:colOff>
      <xdr:row>17</xdr:row>
      <xdr:rowOff>32702</xdr:rowOff>
    </xdr:from>
    <xdr:to>
      <xdr:col>9</xdr:col>
      <xdr:colOff>210966</xdr:colOff>
      <xdr:row>29</xdr:row>
      <xdr:rowOff>51807</xdr:rowOff>
    </xdr:to>
    <xdr:graphicFrame>
      <xdr:nvGraphicFramePr>
        <xdr:cNvPr id="142" name="Gráfico de Pizza 2D"/>
        <xdr:cNvGraphicFramePr/>
      </xdr:nvGraphicFramePr>
      <xdr:xfrm>
        <a:off x="4800611" y="2839402"/>
        <a:ext cx="2268356" cy="200030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5</xdr:col>
      <xdr:colOff>445030</xdr:colOff>
      <xdr:row>33</xdr:row>
      <xdr:rowOff>64376</xdr:rowOff>
    </xdr:from>
    <xdr:to>
      <xdr:col>9</xdr:col>
      <xdr:colOff>675402</xdr:colOff>
      <xdr:row>50</xdr:row>
      <xdr:rowOff>140576</xdr:rowOff>
    </xdr:to>
    <xdr:graphicFrame>
      <xdr:nvGraphicFramePr>
        <xdr:cNvPr id="143" name="Gráfico de Pizza 2D"/>
        <xdr:cNvGraphicFramePr/>
      </xdr:nvGraphicFramePr>
      <xdr:xfrm>
        <a:off x="4255030" y="5512676"/>
        <a:ext cx="3278373" cy="28829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4</xdr:col>
      <xdr:colOff>641218</xdr:colOff>
      <xdr:row>57</xdr:row>
      <xdr:rowOff>50014</xdr:rowOff>
    </xdr:from>
    <xdr:to>
      <xdr:col>8</xdr:col>
      <xdr:colOff>277939</xdr:colOff>
      <xdr:row>72</xdr:row>
      <xdr:rowOff>30964</xdr:rowOff>
    </xdr:to>
    <xdr:graphicFrame>
      <xdr:nvGraphicFramePr>
        <xdr:cNvPr id="144" name="Gráfico de Pizza 2D"/>
        <xdr:cNvGraphicFramePr/>
      </xdr:nvGraphicFramePr>
      <xdr:xfrm>
        <a:off x="3689218" y="9460714"/>
        <a:ext cx="2684722" cy="245745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4</xdr:col>
      <xdr:colOff>636702</xdr:colOff>
      <xdr:row>76</xdr:row>
      <xdr:rowOff>77534</xdr:rowOff>
    </xdr:from>
    <xdr:to>
      <xdr:col>8</xdr:col>
      <xdr:colOff>434945</xdr:colOff>
      <xdr:row>92</xdr:row>
      <xdr:rowOff>9142</xdr:rowOff>
    </xdr:to>
    <xdr:graphicFrame>
      <xdr:nvGraphicFramePr>
        <xdr:cNvPr id="145" name="Gráfico de Pizza 2D"/>
        <xdr:cNvGraphicFramePr/>
      </xdr:nvGraphicFramePr>
      <xdr:xfrm>
        <a:off x="3684702" y="12625134"/>
        <a:ext cx="2846244" cy="257320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  <xdr:twoCellAnchor>
    <xdr:from>
      <xdr:col>5</xdr:col>
      <xdr:colOff>35131</xdr:colOff>
      <xdr:row>96</xdr:row>
      <xdr:rowOff>54917</xdr:rowOff>
    </xdr:from>
    <xdr:to>
      <xdr:col>8</xdr:col>
      <xdr:colOff>17486</xdr:colOff>
      <xdr:row>109</xdr:row>
      <xdr:rowOff>67672</xdr:rowOff>
    </xdr:to>
    <xdr:graphicFrame>
      <xdr:nvGraphicFramePr>
        <xdr:cNvPr id="146" name="Gráfico de Pizza 2D"/>
        <xdr:cNvGraphicFramePr/>
      </xdr:nvGraphicFramePr>
      <xdr:xfrm>
        <a:off x="3845131" y="15904517"/>
        <a:ext cx="2268356" cy="215905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>
    <xdr:from>
      <xdr:col>5</xdr:col>
      <xdr:colOff>529130</xdr:colOff>
      <xdr:row>111</xdr:row>
      <xdr:rowOff>155339</xdr:rowOff>
    </xdr:from>
    <xdr:to>
      <xdr:col>9</xdr:col>
      <xdr:colOff>165851</xdr:colOff>
      <xdr:row>126</xdr:row>
      <xdr:rowOff>136289</xdr:rowOff>
    </xdr:to>
    <xdr:graphicFrame>
      <xdr:nvGraphicFramePr>
        <xdr:cNvPr id="147" name="Gráfico de Pizza 2D"/>
        <xdr:cNvGraphicFramePr/>
      </xdr:nvGraphicFramePr>
      <xdr:xfrm>
        <a:off x="4339130" y="18481439"/>
        <a:ext cx="2684722" cy="245745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  <xdr:twoCellAnchor>
    <xdr:from>
      <xdr:col>6</xdr:col>
      <xdr:colOff>85958</xdr:colOff>
      <xdr:row>132</xdr:row>
      <xdr:rowOff>18764</xdr:rowOff>
    </xdr:from>
    <xdr:to>
      <xdr:col>9</xdr:col>
      <xdr:colOff>68314</xdr:colOff>
      <xdr:row>145</xdr:row>
      <xdr:rowOff>31519</xdr:rowOff>
    </xdr:to>
    <xdr:graphicFrame>
      <xdr:nvGraphicFramePr>
        <xdr:cNvPr id="148" name="Gráfico de Pizza 2D"/>
        <xdr:cNvGraphicFramePr/>
      </xdr:nvGraphicFramePr>
      <xdr:xfrm>
        <a:off x="4657958" y="21811964"/>
        <a:ext cx="2268357" cy="215905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9"/>
        </a:graphicData>
      </a:graphic>
    </xdr:graphicFrame>
    <xdr:clientData/>
  </xdr:twoCellAnchor>
  <xdr:twoCellAnchor>
    <xdr:from>
      <xdr:col>6</xdr:col>
      <xdr:colOff>257854</xdr:colOff>
      <xdr:row>149</xdr:row>
      <xdr:rowOff>13560</xdr:rowOff>
    </xdr:from>
    <xdr:to>
      <xdr:col>9</xdr:col>
      <xdr:colOff>181722</xdr:colOff>
      <xdr:row>161</xdr:row>
      <xdr:rowOff>3160</xdr:rowOff>
    </xdr:to>
    <xdr:graphicFrame>
      <xdr:nvGraphicFramePr>
        <xdr:cNvPr id="149" name="Gráfico de Pizza 2D"/>
        <xdr:cNvGraphicFramePr/>
      </xdr:nvGraphicFramePr>
      <xdr:xfrm>
        <a:off x="4829854" y="24613460"/>
        <a:ext cx="2209869" cy="19708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0"/>
        </a:graphicData>
      </a:graphic>
    </xdr:graphicFrame>
    <xdr:clientData/>
  </xdr:twoCellAnchor>
  <xdr:twoCellAnchor>
    <xdr:from>
      <xdr:col>6</xdr:col>
      <xdr:colOff>197843</xdr:colOff>
      <xdr:row>165</xdr:row>
      <xdr:rowOff>72426</xdr:rowOff>
    </xdr:from>
    <xdr:to>
      <xdr:col>9</xdr:col>
      <xdr:colOff>359365</xdr:colOff>
      <xdr:row>179</xdr:row>
      <xdr:rowOff>48483</xdr:rowOff>
    </xdr:to>
    <xdr:graphicFrame>
      <xdr:nvGraphicFramePr>
        <xdr:cNvPr id="150" name="Gráfico de Pizza 2D"/>
        <xdr:cNvGraphicFramePr/>
      </xdr:nvGraphicFramePr>
      <xdr:xfrm>
        <a:off x="4769843" y="27313926"/>
        <a:ext cx="2447523" cy="228745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1"/>
        </a:graphicData>
      </a:graphic>
    </xdr:graphicFrame>
    <xdr:clientData/>
  </xdr:twoCellAnchor>
  <xdr:twoCellAnchor>
    <xdr:from>
      <xdr:col>6</xdr:col>
      <xdr:colOff>121292</xdr:colOff>
      <xdr:row>183</xdr:row>
      <xdr:rowOff>32106</xdr:rowOff>
    </xdr:from>
    <xdr:to>
      <xdr:col>9</xdr:col>
      <xdr:colOff>520013</xdr:colOff>
      <xdr:row>198</xdr:row>
      <xdr:rowOff>13056</xdr:rowOff>
    </xdr:to>
    <xdr:graphicFrame>
      <xdr:nvGraphicFramePr>
        <xdr:cNvPr id="151" name="Gráfico de Pizza 2D"/>
        <xdr:cNvGraphicFramePr/>
      </xdr:nvGraphicFramePr>
      <xdr:xfrm>
        <a:off x="4693292" y="30245406"/>
        <a:ext cx="2684722" cy="245745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26_Stocks">
  <a:themeElements>
    <a:clrScheme name="26_Stocks">
      <a:dk1>
        <a:srgbClr val="000000"/>
      </a:dk1>
      <a:lt1>
        <a:srgbClr val="FFFFFF"/>
      </a:lt1>
      <a:dk2>
        <a:srgbClr val="4A4A4B"/>
      </a:dk2>
      <a:lt2>
        <a:srgbClr val="C2C3C6"/>
      </a:lt2>
      <a:accent1>
        <a:srgbClr val="53BBE0"/>
      </a:accent1>
      <a:accent2>
        <a:srgbClr val="6DCFB9"/>
      </a:accent2>
      <a:accent3>
        <a:srgbClr val="90BF72"/>
      </a:accent3>
      <a:accent4>
        <a:srgbClr val="F2C34A"/>
      </a:accent4>
      <a:accent5>
        <a:srgbClr val="FF4741"/>
      </a:accent5>
      <a:accent6>
        <a:srgbClr val="FF8700"/>
      </a:accent6>
      <a:hlink>
        <a:srgbClr val="0000FF"/>
      </a:hlink>
      <a:folHlink>
        <a:srgbClr val="FF00FF"/>
      </a:folHlink>
    </a:clrScheme>
    <a:fontScheme name="26_Stocks">
      <a:majorFont>
        <a:latin typeface="Publico Headline Roman"/>
        <a:ea typeface="Publico Headline Roman"/>
        <a:cs typeface="Publico Headline Roman"/>
      </a:majorFont>
      <a:minorFont>
        <a:latin typeface="Avenir Next Regular"/>
        <a:ea typeface="Avenir Next Regular"/>
        <a:cs typeface="Avenir Next Regular"/>
      </a:minorFont>
    </a:fontScheme>
    <a:fmtScheme name="26_Stock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4B4A4B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all" i="0" spc="0" strike="noStrike" sz="14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Publico Text Roman"/>
            <a:ea typeface="Publico Text Roman"/>
            <a:cs typeface="Publico Text Roman"/>
            <a:sym typeface="Publico Text Roman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40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venir Next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vmlDrawing" Target="../drawings/vmlDrawing5.vml"/><Relationship Id="rId3" Type="http://schemas.openxmlformats.org/officeDocument/2006/relationships/comments" Target="../comments5.xml"/></Relationships>
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vmlDrawing" Target="../drawings/vmlDrawing6.vml"/><Relationship Id="rId3" Type="http://schemas.openxmlformats.org/officeDocument/2006/relationships/comments" Target="../comments6.xml"/></Relationships>
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vmlDrawing" Target="../drawings/vmlDrawing7.vml"/><Relationship Id="rId3" Type="http://schemas.openxmlformats.org/officeDocument/2006/relationships/comments" Target="../comments7.xml"/></Relationships>
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vmlDrawing" Target="../drawings/vmlDrawing8.vml"/><Relationship Id="rId3" Type="http://schemas.openxmlformats.org/officeDocument/2006/relationships/comments" Target="../comments8.xml"/></Relationships>
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vmlDrawing" Target="../drawings/vmlDrawing9.vml"/><Relationship Id="rId3" Type="http://schemas.openxmlformats.org/officeDocument/2006/relationships/comments" Target="../comments9.xml"/></Relationships>
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vmlDrawing" Target="../drawings/vmlDrawing10.vml"/><Relationship Id="rId3" Type="http://schemas.openxmlformats.org/officeDocument/2006/relationships/comments" Target="../comments10.xml"/></Relationships>
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vmlDrawing" Target="../drawings/vmlDrawing11.vml"/><Relationship Id="rId3" Type="http://schemas.openxmlformats.org/officeDocument/2006/relationships/comments" Target="../comments11.xml"/></Relationships>
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vmlDrawing" Target="../drawings/vmlDrawing12.vml"/><Relationship Id="rId3" Type="http://schemas.openxmlformats.org/officeDocument/2006/relationships/comments" Target="../comments12.xml"/></Relationships>
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vmlDrawing" Target="../drawings/vmlDrawing13.vml"/><Relationship Id="rId3" Type="http://schemas.openxmlformats.org/officeDocument/2006/relationships/comments" Target="../comments13.xml"/></Relationships>
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vmlDrawing" Target="../drawings/vmlDrawing14.vml"/><Relationship Id="rId3" Type="http://schemas.openxmlformats.org/officeDocument/2006/relationships/comments" Target="../comments14.xml"/></Relationships>
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vmlDrawing" Target="../drawings/vmlDrawing15.vml"/><Relationship Id="rId3" Type="http://schemas.openxmlformats.org/officeDocument/2006/relationships/comments" Target="../comments15.xml"/></Relationships>

</file>

<file path=xl/worksheets/_rels/sheet85.xml.rels><?xml version="1.0" encoding="UTF-8"?>
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vmlDrawing" Target="../drawings/vmlDrawing16.vml"/><Relationship Id="rId3" Type="http://schemas.openxmlformats.org/officeDocument/2006/relationships/comments" Target="../comments16.xml"/></Relationships>

</file>

<file path=xl/worksheets/_rels/sheet86.xml.rels><?xml version="1.0" encoding="UTF-8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6</v>
      </c>
    </row>
    <row r="11">
      <c r="B11" s="4"/>
      <c r="C11" t="s" s="4">
        <v>11</v>
      </c>
      <c r="D11" t="s" s="5">
        <v>12</v>
      </c>
    </row>
    <row r="12">
      <c r="B12" s="4"/>
      <c r="C12" t="s" s="4">
        <v>17</v>
      </c>
      <c r="D12" t="s" s="5">
        <v>18</v>
      </c>
    </row>
    <row r="13">
      <c r="B13" s="4"/>
      <c r="C13" t="s" s="4">
        <v>47</v>
      </c>
      <c r="D13" t="s" s="5">
        <v>48</v>
      </c>
    </row>
    <row r="14">
      <c r="B14" s="4"/>
      <c r="C14" t="s" s="4">
        <v>49</v>
      </c>
      <c r="D14" t="s" s="5">
        <v>50</v>
      </c>
    </row>
    <row r="15">
      <c r="B15" s="4"/>
      <c r="C15" t="s" s="4">
        <v>73</v>
      </c>
      <c r="D15" t="s" s="5">
        <v>74</v>
      </c>
    </row>
    <row r="16">
      <c r="B16" t="s" s="3">
        <v>75</v>
      </c>
      <c r="C16" s="3"/>
      <c r="D16" s="3"/>
    </row>
    <row r="17">
      <c r="B17" s="4"/>
      <c r="C17" t="s" s="4">
        <v>5</v>
      </c>
      <c r="D17" t="s" s="5">
        <v>76</v>
      </c>
    </row>
    <row r="18">
      <c r="B18" s="4"/>
      <c r="C18" t="s" s="4">
        <v>11</v>
      </c>
      <c r="D18" t="s" s="5">
        <v>78</v>
      </c>
    </row>
    <row r="19">
      <c r="B19" s="4"/>
      <c r="C19" t="s" s="4">
        <v>17</v>
      </c>
      <c r="D19" t="s" s="5">
        <v>80</v>
      </c>
    </row>
    <row r="20">
      <c r="B20" s="4"/>
      <c r="C20" t="s" s="4">
        <v>47</v>
      </c>
      <c r="D20" t="s" s="5">
        <v>91</v>
      </c>
    </row>
    <row r="21">
      <c r="B21" s="4"/>
      <c r="C21" t="s" s="4">
        <v>73</v>
      </c>
      <c r="D21" t="s" s="5">
        <v>92</v>
      </c>
    </row>
    <row r="22">
      <c r="B22" t="s" s="3">
        <v>93</v>
      </c>
      <c r="C22" s="3"/>
      <c r="D22" s="3"/>
    </row>
    <row r="23">
      <c r="B23" s="4"/>
      <c r="C23" t="s" s="4">
        <v>5</v>
      </c>
      <c r="D23" t="s" s="5">
        <v>94</v>
      </c>
    </row>
    <row r="24">
      <c r="B24" s="4"/>
      <c r="C24" t="s" s="4">
        <v>11</v>
      </c>
      <c r="D24" t="s" s="5">
        <v>97</v>
      </c>
    </row>
    <row r="25">
      <c r="B25" s="4"/>
      <c r="C25" t="s" s="4">
        <v>17</v>
      </c>
      <c r="D25" t="s" s="5">
        <v>98</v>
      </c>
    </row>
    <row r="26">
      <c r="B26" s="4"/>
      <c r="C26" t="s" s="4">
        <v>120</v>
      </c>
      <c r="D26" t="s" s="5">
        <v>121</v>
      </c>
    </row>
    <row r="27">
      <c r="B27" s="4"/>
      <c r="C27" t="s" s="4">
        <v>122</v>
      </c>
      <c r="D27" t="s" s="5">
        <v>123</v>
      </c>
    </row>
    <row r="28">
      <c r="B28" s="4"/>
      <c r="C28" t="s" s="4">
        <v>47</v>
      </c>
      <c r="D28" t="s" s="5">
        <v>156</v>
      </c>
    </row>
    <row r="29">
      <c r="B29" s="4"/>
      <c r="C29" t="s" s="4">
        <v>49</v>
      </c>
      <c r="D29" t="s" s="5">
        <v>157</v>
      </c>
    </row>
    <row r="30">
      <c r="B30" s="4"/>
      <c r="C30" t="s" s="4">
        <v>73</v>
      </c>
      <c r="D30" t="s" s="5">
        <v>158</v>
      </c>
    </row>
    <row r="31">
      <c r="B31" t="s" s="3">
        <v>159</v>
      </c>
      <c r="C31" s="3"/>
      <c r="D31" s="3"/>
    </row>
    <row r="32">
      <c r="B32" s="4"/>
      <c r="C32" t="s" s="4">
        <v>5</v>
      </c>
      <c r="D32" t="s" s="5">
        <v>160</v>
      </c>
    </row>
    <row r="33">
      <c r="B33" s="4"/>
      <c r="C33" t="s" s="4">
        <v>11</v>
      </c>
      <c r="D33" t="s" s="5">
        <v>161</v>
      </c>
    </row>
    <row r="34">
      <c r="B34" s="4"/>
      <c r="C34" t="s" s="4">
        <v>17</v>
      </c>
      <c r="D34" t="s" s="5">
        <v>162</v>
      </c>
    </row>
    <row r="35">
      <c r="B35" s="4"/>
      <c r="C35" t="s" s="4">
        <v>120</v>
      </c>
      <c r="D35" t="s" s="5">
        <v>174</v>
      </c>
    </row>
    <row r="36">
      <c r="B36" s="4"/>
      <c r="C36" t="s" s="4">
        <v>47</v>
      </c>
      <c r="D36" t="s" s="5">
        <v>175</v>
      </c>
    </row>
    <row r="37">
      <c r="B37" s="4"/>
      <c r="C37" t="s" s="4">
        <v>73</v>
      </c>
      <c r="D37" t="s" s="5">
        <v>176</v>
      </c>
    </row>
    <row r="38">
      <c r="B38" t="s" s="3">
        <v>177</v>
      </c>
      <c r="C38" s="3"/>
      <c r="D38" s="3"/>
    </row>
    <row r="39">
      <c r="B39" s="4"/>
      <c r="C39" t="s" s="4">
        <v>5</v>
      </c>
      <c r="D39" t="s" s="5">
        <v>178</v>
      </c>
    </row>
    <row r="40">
      <c r="B40" s="4"/>
      <c r="C40" t="s" s="4">
        <v>11</v>
      </c>
      <c r="D40" t="s" s="5">
        <v>179</v>
      </c>
    </row>
    <row r="41">
      <c r="B41" s="4"/>
      <c r="C41" t="s" s="4">
        <v>17</v>
      </c>
      <c r="D41" t="s" s="5">
        <v>180</v>
      </c>
    </row>
    <row r="42">
      <c r="B42" s="4"/>
      <c r="C42" t="s" s="4">
        <v>120</v>
      </c>
      <c r="D42" t="s" s="5">
        <v>191</v>
      </c>
    </row>
    <row r="43">
      <c r="B43" s="4"/>
      <c r="C43" t="s" s="4">
        <v>47</v>
      </c>
      <c r="D43" t="s" s="5">
        <v>192</v>
      </c>
    </row>
    <row r="44">
      <c r="B44" s="4"/>
      <c r="C44" t="s" s="4">
        <v>73</v>
      </c>
      <c r="D44" t="s" s="5">
        <v>193</v>
      </c>
    </row>
    <row r="45">
      <c r="B45" t="s" s="3">
        <v>194</v>
      </c>
      <c r="C45" s="3"/>
      <c r="D45" s="3"/>
    </row>
    <row r="46">
      <c r="B46" s="4"/>
      <c r="C46" t="s" s="4">
        <v>5</v>
      </c>
      <c r="D46" t="s" s="5">
        <v>195</v>
      </c>
    </row>
    <row r="47">
      <c r="B47" s="4"/>
      <c r="C47" t="s" s="4">
        <v>11</v>
      </c>
      <c r="D47" t="s" s="5">
        <v>197</v>
      </c>
    </row>
    <row r="48">
      <c r="B48" s="4"/>
      <c r="C48" t="s" s="4">
        <v>17</v>
      </c>
      <c r="D48" t="s" s="5">
        <v>198</v>
      </c>
    </row>
    <row r="49">
      <c r="B49" s="4"/>
      <c r="C49" t="s" s="4">
        <v>120</v>
      </c>
      <c r="D49" t="s" s="5">
        <v>202</v>
      </c>
    </row>
    <row r="50">
      <c r="B50" s="4"/>
      <c r="C50" t="s" s="4">
        <v>47</v>
      </c>
      <c r="D50" t="s" s="5">
        <v>203</v>
      </c>
    </row>
    <row r="51">
      <c r="B51" s="4"/>
      <c r="C51" t="s" s="4">
        <v>73</v>
      </c>
      <c r="D51" t="s" s="5">
        <v>204</v>
      </c>
    </row>
    <row r="52">
      <c r="B52" t="s" s="3">
        <v>205</v>
      </c>
      <c r="C52" s="3"/>
      <c r="D52" s="3"/>
    </row>
    <row r="53">
      <c r="B53" s="4"/>
      <c r="C53" t="s" s="4">
        <v>5</v>
      </c>
      <c r="D53" t="s" s="5">
        <v>206</v>
      </c>
    </row>
    <row r="54">
      <c r="B54" s="4"/>
      <c r="C54" t="s" s="4">
        <v>11</v>
      </c>
      <c r="D54" t="s" s="5">
        <v>208</v>
      </c>
    </row>
    <row r="55">
      <c r="B55" s="4"/>
      <c r="C55" t="s" s="4">
        <v>17</v>
      </c>
      <c r="D55" t="s" s="5">
        <v>209</v>
      </c>
    </row>
    <row r="56">
      <c r="B56" s="4"/>
      <c r="C56" t="s" s="4">
        <v>226</v>
      </c>
      <c r="D56" t="s" s="5">
        <v>227</v>
      </c>
    </row>
    <row r="57">
      <c r="B57" s="4"/>
      <c r="C57" t="s" s="4">
        <v>233</v>
      </c>
      <c r="D57" t="s" s="5">
        <v>234</v>
      </c>
    </row>
    <row r="58">
      <c r="B58" s="4"/>
      <c r="C58" t="s" s="4">
        <v>47</v>
      </c>
      <c r="D58" t="s" s="5">
        <v>243</v>
      </c>
    </row>
    <row r="59">
      <c r="B59" s="4"/>
      <c r="C59" t="s" s="4">
        <v>120</v>
      </c>
      <c r="D59" t="s" s="5">
        <v>244</v>
      </c>
    </row>
    <row r="60">
      <c r="B60" s="4"/>
      <c r="C60" t="s" s="4">
        <v>73</v>
      </c>
      <c r="D60" t="s" s="5">
        <v>245</v>
      </c>
    </row>
    <row r="61">
      <c r="B61" t="s" s="3">
        <v>246</v>
      </c>
      <c r="C61" s="3"/>
      <c r="D61" s="3"/>
    </row>
    <row r="62">
      <c r="B62" s="4"/>
      <c r="C62" t="s" s="4">
        <v>5</v>
      </c>
      <c r="D62" t="s" s="5">
        <v>247</v>
      </c>
    </row>
    <row r="63">
      <c r="B63" s="4"/>
      <c r="C63" t="s" s="4">
        <v>11</v>
      </c>
      <c r="D63" t="s" s="5">
        <v>249</v>
      </c>
    </row>
    <row r="64">
      <c r="B64" s="4"/>
      <c r="C64" t="s" s="4">
        <v>17</v>
      </c>
      <c r="D64" t="s" s="5">
        <v>250</v>
      </c>
    </row>
    <row r="65">
      <c r="B65" s="4"/>
      <c r="C65" t="s" s="4">
        <v>226</v>
      </c>
      <c r="D65" t="s" s="5">
        <v>275</v>
      </c>
    </row>
    <row r="66">
      <c r="B66" s="4"/>
      <c r="C66" t="s" s="4">
        <v>285</v>
      </c>
      <c r="D66" t="s" s="5">
        <v>286</v>
      </c>
    </row>
    <row r="67">
      <c r="B67" s="4"/>
      <c r="C67" t="s" s="4">
        <v>120</v>
      </c>
      <c r="D67" t="s" s="5">
        <v>289</v>
      </c>
    </row>
    <row r="68">
      <c r="B68" s="4"/>
      <c r="C68" t="s" s="4">
        <v>47</v>
      </c>
      <c r="D68" t="s" s="5">
        <v>290</v>
      </c>
    </row>
    <row r="69">
      <c r="B69" s="4"/>
      <c r="C69" t="s" s="4">
        <v>73</v>
      </c>
      <c r="D69" t="s" s="5">
        <v>291</v>
      </c>
    </row>
    <row r="70">
      <c r="B70" t="s" s="3">
        <v>292</v>
      </c>
      <c r="C70" s="3"/>
      <c r="D70" s="3"/>
    </row>
    <row r="71">
      <c r="B71" s="4"/>
      <c r="C71" t="s" s="4">
        <v>5</v>
      </c>
      <c r="D71" t="s" s="5">
        <v>293</v>
      </c>
    </row>
    <row r="72">
      <c r="B72" s="4"/>
      <c r="C72" t="s" s="4">
        <v>11</v>
      </c>
      <c r="D72" t="s" s="5">
        <v>294</v>
      </c>
    </row>
    <row r="73">
      <c r="B73" s="4"/>
      <c r="C73" t="s" s="4">
        <v>17</v>
      </c>
      <c r="D73" t="s" s="5">
        <v>295</v>
      </c>
    </row>
    <row r="74">
      <c r="B74" s="4"/>
      <c r="C74" t="s" s="4">
        <v>120</v>
      </c>
      <c r="D74" t="s" s="5">
        <v>300</v>
      </c>
    </row>
    <row r="75">
      <c r="B75" s="4"/>
      <c r="C75" t="s" s="4">
        <v>47</v>
      </c>
      <c r="D75" t="s" s="5">
        <v>301</v>
      </c>
    </row>
    <row r="76">
      <c r="B76" s="4"/>
      <c r="C76" t="s" s="4">
        <v>73</v>
      </c>
      <c r="D76" t="s" s="5">
        <v>302</v>
      </c>
    </row>
    <row r="77">
      <c r="B77" t="s" s="3">
        <v>303</v>
      </c>
      <c r="C77" s="3"/>
      <c r="D77" s="3"/>
    </row>
    <row r="78">
      <c r="B78" s="4"/>
      <c r="C78" t="s" s="4">
        <v>5</v>
      </c>
      <c r="D78" t="s" s="5">
        <v>304</v>
      </c>
    </row>
    <row r="79">
      <c r="B79" s="4"/>
      <c r="C79" t="s" s="4">
        <v>11</v>
      </c>
      <c r="D79" t="s" s="5">
        <v>306</v>
      </c>
    </row>
    <row r="80">
      <c r="B80" s="4"/>
      <c r="C80" t="s" s="4">
        <v>17</v>
      </c>
      <c r="D80" t="s" s="5">
        <v>307</v>
      </c>
    </row>
    <row r="81">
      <c r="B81" s="4"/>
      <c r="C81" t="s" s="4">
        <v>120</v>
      </c>
      <c r="D81" t="s" s="5">
        <v>313</v>
      </c>
    </row>
    <row r="82">
      <c r="B82" s="4"/>
      <c r="C82" t="s" s="4">
        <v>47</v>
      </c>
      <c r="D82" t="s" s="5">
        <v>314</v>
      </c>
    </row>
    <row r="83">
      <c r="B83" s="4"/>
      <c r="C83" t="s" s="4">
        <v>73</v>
      </c>
      <c r="D83" t="s" s="5">
        <v>315</v>
      </c>
    </row>
    <row r="84">
      <c r="B84" t="s" s="3">
        <v>316</v>
      </c>
      <c r="C84" s="3"/>
      <c r="D84" s="3"/>
    </row>
    <row r="85">
      <c r="B85" s="4"/>
      <c r="C85" t="s" s="4">
        <v>317</v>
      </c>
      <c r="D85" t="s" s="5">
        <v>318</v>
      </c>
    </row>
    <row r="86">
      <c r="B86" s="4"/>
      <c r="C86" t="s" s="4">
        <v>344</v>
      </c>
      <c r="D86" t="s" s="5">
        <v>345</v>
      </c>
    </row>
    <row r="87">
      <c r="B87" s="4"/>
      <c r="C87" t="s" s="4">
        <v>348</v>
      </c>
      <c r="D87" t="s" s="5">
        <v>349</v>
      </c>
    </row>
    <row r="88">
      <c r="B88" s="4"/>
      <c r="C88" t="s" s="4">
        <v>352</v>
      </c>
      <c r="D88" t="s" s="5">
        <v>353</v>
      </c>
    </row>
    <row r="89">
      <c r="B89" s="4"/>
      <c r="C89" t="s" s="4">
        <v>356</v>
      </c>
      <c r="D89" t="s" s="5">
        <v>357</v>
      </c>
    </row>
    <row r="90">
      <c r="B90" s="4"/>
      <c r="C90" t="s" s="4">
        <v>359</v>
      </c>
      <c r="D90" t="s" s="5">
        <v>360</v>
      </c>
    </row>
    <row r="91">
      <c r="B91" t="s" s="3">
        <v>367</v>
      </c>
      <c r="C91" s="3"/>
      <c r="D91" s="3"/>
    </row>
    <row r="92">
      <c r="B92" s="4"/>
      <c r="C92" t="s" s="4">
        <v>368</v>
      </c>
      <c r="D92" t="s" s="5">
        <v>369</v>
      </c>
    </row>
    <row r="93">
      <c r="B93" s="4"/>
      <c r="C93" t="s" s="4">
        <v>4</v>
      </c>
      <c r="D93" t="s" s="5">
        <v>388</v>
      </c>
    </row>
    <row r="94">
      <c r="B94" s="4"/>
      <c r="C94" t="s" s="4">
        <v>394</v>
      </c>
      <c r="D94" t="s" s="5">
        <v>395</v>
      </c>
    </row>
    <row r="95">
      <c r="B95" s="4"/>
      <c r="C95" t="s" s="4">
        <v>401</v>
      </c>
      <c r="D95" t="s" s="5">
        <v>406</v>
      </c>
    </row>
    <row r="96">
      <c r="B96" s="4"/>
      <c r="C96" t="s" s="4">
        <v>402</v>
      </c>
      <c r="D96" t="s" s="5">
        <v>411</v>
      </c>
    </row>
    <row r="97">
      <c r="B97" s="4"/>
      <c r="C97" t="s" s="4">
        <v>403</v>
      </c>
      <c r="D97" t="s" s="5">
        <v>420</v>
      </c>
    </row>
    <row r="98">
      <c r="B98" s="4"/>
      <c r="C98" t="s" s="4">
        <v>404</v>
      </c>
      <c r="D98" t="s" s="5">
        <v>424</v>
      </c>
    </row>
    <row r="99">
      <c r="B99" s="4"/>
      <c r="C99" t="s" s="4">
        <v>194</v>
      </c>
      <c r="D99" t="s" s="5">
        <v>428</v>
      </c>
    </row>
    <row r="100">
      <c r="B100" s="4"/>
      <c r="C100" t="s" s="4">
        <v>205</v>
      </c>
      <c r="D100" t="s" s="5">
        <v>430</v>
      </c>
    </row>
    <row r="101">
      <c r="B101" s="4"/>
      <c r="C101" t="s" s="4">
        <v>246</v>
      </c>
      <c r="D101" t="s" s="5">
        <v>433</v>
      </c>
    </row>
    <row r="102">
      <c r="B102" s="4"/>
      <c r="C102" t="s" s="4">
        <v>292</v>
      </c>
      <c r="D102" t="s" s="5">
        <v>438</v>
      </c>
    </row>
    <row r="103">
      <c r="B103" s="4"/>
      <c r="C103" t="s" s="4">
        <v>303</v>
      </c>
      <c r="D103" t="s" s="5">
        <v>441</v>
      </c>
    </row>
    <row r="104">
      <c r="B104" s="4"/>
      <c r="C104" t="s" s="4">
        <v>405</v>
      </c>
      <c r="D104" t="s" s="5">
        <v>444</v>
      </c>
    </row>
    <row r="105">
      <c r="B105" s="4"/>
      <c r="C105" t="s" s="4">
        <v>73</v>
      </c>
      <c r="D105" t="s" s="5">
        <v>449</v>
      </c>
    </row>
  </sheetData>
  <mergeCells count="1">
    <mergeCell ref="B3:D3"/>
  </mergeCells>
  <hyperlinks>
    <hyperlink ref="D10" location="'AÇÕES - Visão Geral'!R1C1" tooltip="" display="AÇÕES - Visão Geral"/>
    <hyperlink ref="D11" location="'AÇÕES - REFERENCIAL'!R2C1" tooltip="" display="AÇÕES - REFERENCIAL"/>
    <hyperlink ref="D12" location="'AÇÕES - Meu Portfólio'!R1C1" tooltip="" display="AÇÕES - Meu Portfólio"/>
    <hyperlink ref="D13" location="'AÇÕES - Tabela 3'!R2C1" tooltip="" display="AÇÕES - Tabela 3"/>
    <hyperlink ref="D14" location="'AÇÕES - Comparação de FII'!R2C1" tooltip="" display="AÇÕES - Comparação de FII"/>
    <hyperlink ref="D15" location="'AÇÕES - Desenhos'!R1C1" tooltip="" display="AÇÕES - Desenhos"/>
    <hyperlink ref="D17" location="'ETF BRASIL - Visão Geral'!R1C1" tooltip="" display="ETF BRASIL - Visão Geral"/>
    <hyperlink ref="D18" location="'ETF BRASIL - REFERENCIAL'!R2C1" tooltip="" display="ETF BRASIL - REFERENCIAL"/>
    <hyperlink ref="D19" location="'ETF BRASIL - Meu Portfólio'!R1C1" tooltip="" display="ETF BRASIL - Meu Portfólio"/>
    <hyperlink ref="D20" location="'ETF BRASIL - Tabela 3'!R2C1" tooltip="" display="ETF BRASIL - Tabela 3"/>
    <hyperlink ref="D21" location="'ETF BRASIL - Desenhos'!R1C1" tooltip="" display="ETF BRASIL - Desenhos"/>
    <hyperlink ref="D23" location="'ETF USA - Visão Geral'!R1C1" tooltip="" display="ETF USA - Visão Geral"/>
    <hyperlink ref="D24" location="'ETF USA - REFERENCIAL'!R2C1" tooltip="" display="ETF USA - REFERENCIAL"/>
    <hyperlink ref="D25" location="'ETF USA - Meu Portfólio'!R1C1" tooltip="" display="ETF USA - Meu Portfólio"/>
    <hyperlink ref="D26" location="'ETF USA - Tabela 1'!R2C1" tooltip="" display="ETF USA - Tabela 1"/>
    <hyperlink ref="D27" location="'ETF USA - Tabela 2'!R2C1" tooltip="" display="ETF USA - Tabela 2"/>
    <hyperlink ref="D28" location="'ETF USA - Tabela 3'!R2C1" tooltip="" display="ETF USA - Tabela 3"/>
    <hyperlink ref="D29" location="'ETF USA - Comparação de FII'!R2C1" tooltip="" display="ETF USA - Comparação de FII"/>
    <hyperlink ref="D30" location="'ETF USA - Desenhos'!R1C1" tooltip="" display="ETF USA - Desenhos"/>
    <hyperlink ref="D32" location="'Fundos Imobiliários - Visão Ger'!R1C1" tooltip="" display="Fundos Imobiliários - Visão Ger"/>
    <hyperlink ref="D33" location="'Fundos Imobiliários - REFERENCI'!R2C1" tooltip="" display="Fundos Imobiliários - REFERENCI"/>
    <hyperlink ref="D34" location="'Fundos Imobiliários - Meu Portf'!R1C1" tooltip="" display="Fundos Imobiliários - Meu Portf"/>
    <hyperlink ref="D35" location="'Fundos Imobiliários - Tabela 1'!R2C1" tooltip="" display="Fundos Imobiliários - Tabela 1"/>
    <hyperlink ref="D36" location="'Fundos Imobiliários - Tabela 3'!R2C1" tooltip="" display="Fundos Imobiliários - Tabela 3"/>
    <hyperlink ref="D37" location="'Fundos Imobiliários - Desenhos'!R1C1" tooltip="" display="Fundos Imobiliários - Desenhos"/>
    <hyperlink ref="D39" location="'Reit''s - Visão Geral'!R1C1" tooltip="" display="Reit's - Visão Geral"/>
    <hyperlink ref="D40" location="'Reit''s - REFERENCIAL'!R2C1" tooltip="" display="Reit's - REFERENCIAL"/>
    <hyperlink ref="D41" location="'Reit''s - Meu Portfólio'!R1C1" tooltip="" display="Reit's - Meu Portfólio"/>
    <hyperlink ref="D42" location="'Reit''s - Tabela 1'!R2C1" tooltip="" display="Reit's - Tabela 1"/>
    <hyperlink ref="D43" location="'Reit''s - Tabela 3'!R2C1" tooltip="" display="Reit's - Tabela 3"/>
    <hyperlink ref="D44" location="'Reit''s - Desenhos'!R1C1" tooltip="" display="Reit's - Desenhos"/>
    <hyperlink ref="D46" location="'STOCKS - Visão Geral'!R1C1" tooltip="" display="STOCKS - Visão Geral"/>
    <hyperlink ref="D47" location="'STOCKS - REFERENCIAL'!R2C1" tooltip="" display="STOCKS - REFERENCIAL"/>
    <hyperlink ref="D48" location="'STOCKS - Meu Portfólio'!R1C1" tooltip="" display="STOCKS - Meu Portfólio"/>
    <hyperlink ref="D49" location="'STOCKS - Tabela 1'!R2C1" tooltip="" display="STOCKS - Tabela 1"/>
    <hyperlink ref="D50" location="'STOCKS - Tabela 3'!R2C1" tooltip="" display="STOCKS - Tabela 3"/>
    <hyperlink ref="D51" location="'STOCKS - Desenhos'!R1C1" tooltip="" display="STOCKS - Desenhos"/>
    <hyperlink ref="D53" location="'CDB - Visão Geral'!R1C1" tooltip="" display="CDB - Visão Geral"/>
    <hyperlink ref="D54" location="'CDB - REFERENCIAL'!R2C1" tooltip="" display="CDB - REFERENCIAL"/>
    <hyperlink ref="D55" location="'CDB - Meu Portfólio'!R1C1" tooltip="" display="CDB - Meu Portfólio"/>
    <hyperlink ref="D56" location="'CDB - Meu Portfólio-1'!R1C1" tooltip="" display="CDB - Meu Portfólio-1"/>
    <hyperlink ref="D57" location="'CDB - Feriados'!R2C1" tooltip="" display="CDB - Feriados"/>
    <hyperlink ref="D58" location="'CDB - Tabela 3'!R2C1" tooltip="" display="CDB - Tabela 3"/>
    <hyperlink ref="D59" location="'CDB - Tabela 1'!R2C1" tooltip="" display="CDB - Tabela 1"/>
    <hyperlink ref="D60" location="'CDB - Desenhos'!R1C1" tooltip="" display="CDB - Desenhos"/>
    <hyperlink ref="D62" location="'CRI_CRA - Visão Geral'!R1C1" tooltip="" display="CRI_CRA - Visão Geral"/>
    <hyperlink ref="D63" location="'CRI_CRA - REFERENCIAL'!R2C1" tooltip="" display="CRI_CRA - REFERENCIAL"/>
    <hyperlink ref="D64" location="'CRI_CRA - Meu Portfólio'!R1C1" tooltip="" display="CRI_CRA - Meu Portfólio"/>
    <hyperlink ref="D65" location="'CRI_CRA - Meu Portfólio-1'!R1C1" tooltip="" display="CRI_CRA - Meu Portfólio-1"/>
    <hyperlink ref="D66" location="'CRI_CRA - Feriado'!R2C1" tooltip="" display="CRI_CRA - Feriado"/>
    <hyperlink ref="D67" location="'CRI_CRA - Tabela 1'!R2C1" tooltip="" display="CRI_CRA - Tabela 1"/>
    <hyperlink ref="D68" location="'CRI_CRA - Tabela 3'!R2C1" tooltip="" display="CRI_CRA - Tabela 3"/>
    <hyperlink ref="D69" location="'CRI_CRA - Desenhos'!R1C1" tooltip="" display="CRI_CRA - Desenhos"/>
    <hyperlink ref="D71" location="'FUNDOS - Visão Geral'!R1C1" tooltip="" display="FUNDOS - Visão Geral"/>
    <hyperlink ref="D72" location="'FUNDOS - REFERENCIAL'!R2C1" tooltip="" display="FUNDOS - REFERENCIAL"/>
    <hyperlink ref="D73" location="'FUNDOS - Meu Portfólio'!R1C1" tooltip="" display="FUNDOS - Meu Portfólio"/>
    <hyperlink ref="D74" location="'FUNDOS - Tabela 1'!R2C1" tooltip="" display="FUNDOS - Tabela 1"/>
    <hyperlink ref="D75" location="'FUNDOS - Tabela 3'!R2C1" tooltip="" display="FUNDOS - Tabela 3"/>
    <hyperlink ref="D76" location="'FUNDOS - Desenhos'!R1C1" tooltip="" display="FUNDOS - Desenhos"/>
    <hyperlink ref="D78" location="'LCI_LCA - Visão Geral'!R1C1" tooltip="" display="LCI_LCA - Visão Geral"/>
    <hyperlink ref="D79" location="'LCI_LCA - REFERENCIAL'!R2C1" tooltip="" display="LCI_LCA - REFERENCIAL"/>
    <hyperlink ref="D80" location="'LCI_LCA - Meu Portfólio'!R1C1" tooltip="" display="LCI_LCA - Meu Portfólio"/>
    <hyperlink ref="D81" location="'LCI_LCA - Tabela 1'!R2C1" tooltip="" display="LCI_LCA - Tabela 1"/>
    <hyperlink ref="D82" location="'LCI_LCA - Tabela 3'!R2C1" tooltip="" display="LCI_LCA - Tabela 3"/>
    <hyperlink ref="D83" location="'LCI_LCA - Desenhos'!R1C1" tooltip="" display="LCI_LCA - Desenhos"/>
    <hyperlink ref="D85" location="'Tesouro Direto - TESOURO IPCA +'!R2C1" tooltip="" display="Tesouro Direto - TESOURO IPCA +"/>
    <hyperlink ref="D86" location="'Tesouro Direto - TESOURO IPCA 1'!R2C1" tooltip="" display="Tesouro Direto - TESOURO IPCA 1"/>
    <hyperlink ref="D87" location="'Tesouro Direto - NTN-B Principa'!R2C1" tooltip="" display="Tesouro Direto - NTN-B Principa"/>
    <hyperlink ref="D88" location="'Tesouro Direto - NTN-B Princip1'!R2C1" tooltip="" display="Tesouro Direto - NTN-B Princip1"/>
    <hyperlink ref="D89" location="'Tesouro Direto - IPCA + 2050'!R2C1" tooltip="" display="Tesouro Direto - IPCA + 2050"/>
    <hyperlink ref="D90" location="'Tesouro Direto - Meu Portfólio-'!R1C1" tooltip="" display="Tesouro Direto - Meu Portfólio-"/>
    <hyperlink ref="D92" location="'Consolidação - Variação Mensal '!R2C1" tooltip="" display="Consolidação - Variação Mensal "/>
    <hyperlink ref="D93" location="'Consolidação - AÇÕES'!R2C1" tooltip="" display="Consolidação - AÇÕES"/>
    <hyperlink ref="D94" location="'Consolidação - Projeção Anual 2'!R2C1" tooltip="" display="Consolidação - Projeção Anual 2"/>
    <hyperlink ref="D95" location="'Consolidação - ETF - BRASIL'!R2C1" tooltip="" display="Consolidação - ETF - BRASIL"/>
    <hyperlink ref="D96" location="'Consolidação - ETF - USA'!R2C1" tooltip="" display="Consolidação - ETF - USA"/>
    <hyperlink ref="D97" location="'Consolidação - FUNDOS IMOBILIÁR'!R2C1" tooltip="" display="Consolidação - FUNDOS IMOBILIÁR"/>
    <hyperlink ref="D98" location="'Consolidação - REIT’S'!R2C1" tooltip="" display="Consolidação - REIT’S"/>
    <hyperlink ref="D99" location="'Consolidação - STOCKS'!R2C1" tooltip="" display="Consolidação - STOCKS"/>
    <hyperlink ref="D100" location="'Consolidação - CDB'!R2C1" tooltip="" display="Consolidação - CDB"/>
    <hyperlink ref="D101" location="'Consolidação - CRI_CRA'!R2C1" tooltip="" display="Consolidação - CRI_CRA"/>
    <hyperlink ref="D102" location="'Consolidação - FUNDOS'!R2C1" tooltip="" display="Consolidação - FUNDOS"/>
    <hyperlink ref="D103" location="'Consolidação - LCI_LCA'!R2C1" tooltip="" display="Consolidação - LCI_LCA"/>
    <hyperlink ref="D104" location="'Consolidação - TESOURO DIRETO'!R2C1" tooltip="" display="Consolidação - TESOURO DIRETO"/>
    <hyperlink ref="D105" location="'Consolidação - Desenhos'!R1C1" tooltip="" display="Consolidação - Desenhos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3"/>
  <sheetViews>
    <sheetView workbookViewId="0" showGridLines="0" defaultGridColor="1"/>
  </sheetViews>
  <sheetFormatPr defaultColWidth="26.2615" defaultRowHeight="21.65" customHeight="1" outlineLevelRow="0" outlineLevelCol="0"/>
  <cols>
    <col min="1" max="1" width="26.2656" style="6" customWidth="1"/>
    <col min="2" max="2" width="28" style="6" customWidth="1"/>
    <col min="3" max="3" width="3.35156" style="6" customWidth="1"/>
    <col min="4" max="16384" width="26.2656" style="6" customWidth="1"/>
  </cols>
  <sheetData>
    <row r="1" ht="80" customHeight="1">
      <c r="A1" t="s" s="7">
        <v>7</v>
      </c>
      <c r="B1" s="8" cm="1">
        <f t="array" ref="B1">'AÇÕES - Meu Portfólio'!K$5</f>
        <v>39686</v>
      </c>
      <c r="C1" s="9"/>
    </row>
    <row r="2" ht="64" customHeight="1">
      <c r="A2" t="s" s="10">
        <v>8</v>
      </c>
      <c r="B2" s="11" cm="1">
        <f t="array" ref="B2">'AÇÕES - Meu Portfólio'!L5-'AÇÕES - Meu Portfólio'!M5</f>
        <v>-5766</v>
      </c>
      <c r="C2" t="str" s="12" cm="1">
        <f t="array" ref="C2">IF(B2&gt;0,"↑",IF(B2&lt;0,"↓","–"))</f>
        <v>↓</v>
      </c>
    </row>
    <row r="3" ht="64" customHeight="1">
      <c r="A3" t="s" s="13">
        <v>10</v>
      </c>
      <c r="B3" s="14" cm="1">
        <f t="array" ref="B3">'AÇÕES - Meu Portfólio'!O$5</f>
        <v>-0.178128232321077</v>
      </c>
      <c r="C3" t="str" s="15" cm="1">
        <f t="array" ref="C3">IF(B3="–","–",IF(B3&gt;0,"↑",IF(B3&lt;0,"↓","–")))</f>
        <v>↓</v>
      </c>
    </row>
  </sheetData>
  <mergeCells count="1">
    <mergeCell ref="B1:C1"/>
  </mergeCells>
  <conditionalFormatting sqref="B2:B3">
    <cfRule type="cellIs" dxfId="0" priority="1" operator="greaterThan" stopIfTrue="1">
      <formula>0</formula>
    </cfRule>
    <cfRule type="cellIs" dxfId="1" priority="2" operator="lessThan" stopIfTrue="1">
      <formula>0</formula>
    </cfRule>
  </conditionalFormatting>
  <conditionalFormatting sqref="C2:C3">
    <cfRule type="cellIs" dxfId="2" priority="1" operator="equal" stopIfTrue="1">
      <formula>"↑"</formula>
    </cfRule>
    <cfRule type="cellIs" dxfId="3" priority="2" operator="equal" stopIfTrue="1">
      <formula>"↓"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5"/>
  <sheetViews>
    <sheetView workbookViewId="0" showGridLines="0" defaultGridColor="1"/>
  </sheetViews>
  <sheetFormatPr defaultColWidth="16.3333" defaultRowHeight="21.65" customHeight="1" outlineLevelRow="0" outlineLevelCol="0"/>
  <cols>
    <col min="1" max="1" width="16.3516" style="16" customWidth="1"/>
    <col min="2" max="2" width="44.0547" style="16" customWidth="1"/>
    <col min="3" max="16384" width="16.3516" style="16" customWidth="1"/>
  </cols>
  <sheetData>
    <row r="1" ht="30" customHeight="1">
      <c r="A1" t="s" s="17">
        <v>11</v>
      </c>
      <c r="B1" s="17"/>
    </row>
    <row r="2" ht="22.6" customHeight="1">
      <c r="A2" s="18"/>
      <c r="B2" t="s" s="19">
        <v>13</v>
      </c>
    </row>
    <row r="3" ht="22.5" customHeight="1">
      <c r="A3" s="20"/>
      <c r="B3" t="s" s="21">
        <v>14</v>
      </c>
    </row>
    <row r="4" ht="22.5" customHeight="1">
      <c r="A4" s="22"/>
      <c r="B4" t="s" s="23">
        <v>15</v>
      </c>
    </row>
    <row r="5" ht="22.6" customHeight="1">
      <c r="A5" s="24"/>
      <c r="B5" t="s" s="25">
        <v>16</v>
      </c>
    </row>
  </sheetData>
  <mergeCells count="1">
    <mergeCell ref="A1:B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5"/>
  <sheetViews>
    <sheetView workbookViewId="0" showGridLines="0" defaultGridColor="1">
      <pane topLeftCell="B1" xSplit="1" ySplit="0" activePane="topRight" state="frozen"/>
    </sheetView>
  </sheetViews>
  <sheetFormatPr defaultColWidth="11.6667" defaultRowHeight="21.65" customHeight="1" outlineLevelRow="0" outlineLevelCol="0"/>
  <cols>
    <col min="1" max="1" width="10.2734" style="26" customWidth="1"/>
    <col min="2" max="2" width="26.3438" style="26" customWidth="1"/>
    <col min="3" max="3" width="36.4297" style="26" customWidth="1"/>
    <col min="4" max="4" width="10.6094" style="26" customWidth="1"/>
    <col min="5" max="5" width="11.8047" style="26" customWidth="1"/>
    <col min="6" max="6" width="12.1328" style="26" customWidth="1"/>
    <col min="7" max="7" width="11.1172" style="26" customWidth="1"/>
    <col min="8" max="8" width="8.75" style="26" customWidth="1"/>
    <col min="9" max="9" hidden="1" width="11.6667" style="26" customWidth="1"/>
    <col min="10" max="10" width="12.1328" style="26" customWidth="1"/>
    <col min="11" max="11" width="12.7891" style="26" customWidth="1"/>
    <col min="12" max="12" width="12.1328" style="26" customWidth="1"/>
    <col min="13" max="14" hidden="1" width="11.6667" style="26" customWidth="1"/>
    <col min="15" max="17" width="12.1328" style="26" customWidth="1"/>
    <col min="18" max="18" width="14.75" style="26" customWidth="1"/>
    <col min="19" max="21" width="12.1328" style="26" customWidth="1"/>
    <col min="22" max="22" width="20.0938" style="26" customWidth="1"/>
    <col min="23" max="24" width="12.1328" style="26" customWidth="1"/>
    <col min="25" max="16384" width="11.6719" style="26" customWidth="1"/>
  </cols>
  <sheetData>
    <row r="1" ht="22.6" customHeight="1">
      <c r="A1" s="27"/>
      <c r="B1" s="28"/>
      <c r="C1" s="29"/>
      <c r="D1" s="28"/>
      <c r="E1" s="28"/>
      <c r="F1" s="28"/>
      <c r="G1" s="28"/>
      <c r="H1" s="28"/>
      <c r="I1" s="30"/>
      <c r="J1" s="28"/>
      <c r="K1" s="28"/>
      <c r="L1" s="28"/>
      <c r="M1" s="28"/>
      <c r="N1" s="28"/>
      <c r="O1" s="28"/>
      <c r="P1" s="29"/>
      <c r="Q1" s="29"/>
      <c r="R1" s="29"/>
      <c r="S1" s="29"/>
      <c r="T1" s="29"/>
      <c r="U1" s="29"/>
      <c r="V1" s="29"/>
      <c r="W1" s="28"/>
      <c r="X1" s="31"/>
    </row>
    <row r="2" ht="64.5" customHeight="1">
      <c r="A2" t="s" s="32">
        <v>19</v>
      </c>
      <c r="B2" t="s" s="33">
        <v>20</v>
      </c>
      <c r="C2" t="s" s="34">
        <v>21</v>
      </c>
      <c r="D2" t="s" s="33">
        <v>22</v>
      </c>
      <c r="E2" t="s" s="33">
        <v>23</v>
      </c>
      <c r="F2" t="s" s="34">
        <v>24</v>
      </c>
      <c r="G2" t="s" s="33">
        <v>10</v>
      </c>
      <c r="H2" t="s" s="33">
        <v>25</v>
      </c>
      <c r="I2" t="s" s="35">
        <v>26</v>
      </c>
      <c r="J2" t="s" s="33">
        <v>27</v>
      </c>
      <c r="K2" t="s" s="33">
        <v>7</v>
      </c>
      <c r="L2" t="s" s="33">
        <v>28</v>
      </c>
      <c r="M2" t="s" s="33">
        <v>29</v>
      </c>
      <c r="N2" t="s" s="33">
        <v>30</v>
      </c>
      <c r="O2" s="33"/>
      <c r="P2" t="s" s="34">
        <v>31</v>
      </c>
      <c r="Q2" t="s" s="34">
        <v>32</v>
      </c>
      <c r="R2" t="s" s="34">
        <v>33</v>
      </c>
      <c r="S2" t="s" s="34">
        <v>34</v>
      </c>
      <c r="T2" t="s" s="34">
        <v>35</v>
      </c>
      <c r="U2" t="s" s="34">
        <v>36</v>
      </c>
      <c r="V2" t="s" s="34">
        <v>37</v>
      </c>
      <c r="W2" t="s" s="33">
        <v>38</v>
      </c>
      <c r="X2" t="s" s="36">
        <v>39</v>
      </c>
    </row>
    <row r="3" ht="26.05" customHeight="1">
      <c r="A3" t="s" s="37">
        <v>40</v>
      </c>
      <c r="B3" t="str" s="38">
        <v>MERCADOLIBREDRN</v>
      </c>
      <c r="C3" t="s" s="39">
        <v>42</v>
      </c>
      <c r="D3" s="40">
        <v>73.48999999999999</v>
      </c>
      <c r="E3" s="40">
        <v>87.41</v>
      </c>
      <c r="F3" s="40" cm="1">
        <f t="array" ref="F3">D3-E3</f>
        <v>-13.92</v>
      </c>
      <c r="G3" s="41" cm="1">
        <f t="array" ref="G3">(D3-E3)/E3</f>
        <v>-0.159249513785608</v>
      </c>
      <c r="H3" s="42">
        <v>400</v>
      </c>
      <c r="I3" s="43">
        <v>0.20426506</v>
      </c>
      <c r="J3" s="44">
        <v>34964</v>
      </c>
      <c r="K3" s="44">
        <v>29396</v>
      </c>
      <c r="L3" s="44" cm="1">
        <f t="array" ref="L3">_xlfn.IFERROR(K3-J3,"–")</f>
        <v>-5568</v>
      </c>
      <c r="M3" s="44">
        <v>0</v>
      </c>
      <c r="N3" s="45" cm="1">
        <f t="array" ref="N3">_xlfn.IFERROR((K3-J3)/J3,"–")</f>
        <v>-0.159249513785608</v>
      </c>
      <c r="O3" s="38"/>
      <c r="P3" s="38"/>
      <c r="Q3" s="38"/>
      <c r="R3" s="38"/>
      <c r="S3" s="38"/>
      <c r="T3" s="38"/>
      <c r="U3" s="38"/>
      <c r="V3" s="38"/>
      <c r="W3" s="46">
        <v>66.92</v>
      </c>
      <c r="X3" s="47">
        <v>123.8</v>
      </c>
    </row>
    <row r="4" ht="44.3" customHeight="1">
      <c r="A4" t="s" s="48">
        <v>43</v>
      </c>
      <c r="B4" t="str" s="49">
        <v>BBSEGURIDADEON      NM</v>
      </c>
      <c r="C4" t="s" s="50">
        <v>45</v>
      </c>
      <c r="D4" s="51">
        <v>34.3</v>
      </c>
      <c r="E4" s="52">
        <v>34.96</v>
      </c>
      <c r="F4" s="52" cm="1">
        <f t="array" ref="F4">D4-E4</f>
        <v>-0.66</v>
      </c>
      <c r="G4" s="53" cm="1">
        <f t="array" ref="G4">(D4-E4)/E4</f>
        <v>-0.0188787185354691</v>
      </c>
      <c r="H4" s="54">
        <v>300</v>
      </c>
      <c r="I4" s="55">
        <v>0.20426506</v>
      </c>
      <c r="J4" s="52">
        <v>10488</v>
      </c>
      <c r="K4" s="52">
        <v>10290</v>
      </c>
      <c r="L4" s="52" cm="1">
        <f t="array" ref="L4">_xlfn.IFERROR(K4-J4,"–")</f>
        <v>-198</v>
      </c>
      <c r="M4" s="56">
        <v>0</v>
      </c>
      <c r="N4" s="57" cm="1">
        <f t="array" ref="N4">_xlfn.IFERROR((K4-J4)/J4,"–")</f>
        <v>-0.0188787185354691</v>
      </c>
      <c r="O4" s="49"/>
      <c r="P4" s="58">
        <v>46083</v>
      </c>
      <c r="Q4" s="59">
        <v>5.21</v>
      </c>
      <c r="R4" s="59">
        <v>2.605</v>
      </c>
      <c r="S4" s="59" cm="1">
        <f t="array" ref="S4">R4*H4</f>
        <v>781.5</v>
      </c>
      <c r="T4" s="60" cm="1">
        <f t="array" ref="T4">D4/R4</f>
        <v>13.1669865642994</v>
      </c>
      <c r="U4" s="61" cm="1">
        <f t="array" ref="U4">T4-H4</f>
        <v>-286.833013435701</v>
      </c>
      <c r="V4" s="61" cm="1">
        <f t="array" ref="V4">S4/D4</f>
        <v>22.7842565597668</v>
      </c>
      <c r="W4" s="59">
        <v>31.53</v>
      </c>
      <c r="X4" s="62">
        <v>39.3</v>
      </c>
    </row>
    <row r="5" ht="22.85" customHeight="1">
      <c r="A5" t="s" s="63">
        <v>46</v>
      </c>
      <c r="B5" s="64"/>
      <c r="C5" s="65"/>
      <c r="D5" s="64"/>
      <c r="E5" s="64"/>
      <c r="F5" s="64"/>
      <c r="G5" s="64"/>
      <c r="H5" s="66" cm="1">
        <f t="array" ref="H5">SUM(H3:H4)</f>
        <v>700</v>
      </c>
      <c r="I5" s="67"/>
      <c r="J5" s="68" cm="1">
        <f t="array" ref="J5">SUM(J3:J4)</f>
        <v>45452</v>
      </c>
      <c r="K5" s="68" cm="1">
        <f t="array" ref="K5">SUM(K3:K4)</f>
        <v>39686</v>
      </c>
      <c r="L5" s="68" cm="1">
        <f t="array" ref="L5">SUM(L3:L4)</f>
        <v>-5766</v>
      </c>
      <c r="M5" s="69" cm="1">
        <f t="array" ref="M5">SUM(M3:M4)</f>
        <v>0</v>
      </c>
      <c r="N5" s="70" cm="1">
        <f t="array" ref="N5">(K5-J5)/J5</f>
        <v>-0.12685910410983</v>
      </c>
      <c r="O5" s="71" cm="1">
        <f t="array" ref="O5">G3+G4</f>
        <v>-0.178128232321077</v>
      </c>
      <c r="P5" s="65"/>
      <c r="Q5" s="72" cm="1">
        <f t="array" ref="Q5">SUM(Q3:Q4)</f>
        <v>5.21</v>
      </c>
      <c r="R5" s="72" cm="1">
        <f t="array" ref="R5">SUM(R3:R4)</f>
        <v>2.605</v>
      </c>
      <c r="S5" s="72" cm="1">
        <f t="array" ref="S5">SUM(S3:S4)</f>
        <v>781.5</v>
      </c>
      <c r="T5" s="73" cm="1">
        <f t="array" ref="T5">SUM(T3:T4)</f>
        <v>13.1669865642994</v>
      </c>
      <c r="U5" s="73" cm="1">
        <f t="array" ref="U5">SUM(U3:U4)</f>
        <v>-286.833013435701</v>
      </c>
      <c r="V5" s="73" cm="1">
        <f t="array" ref="V5">SUM(V3:V4)</f>
        <v>22.7842565597668</v>
      </c>
      <c r="W5" s="74" cm="1">
        <f t="array" ref="W5">SUM(W3:W4)</f>
        <v>98.45</v>
      </c>
      <c r="X5" s="75" cm="1">
        <f t="array" ref="X5">SUM(X3:X4)</f>
        <v>163.1</v>
      </c>
    </row>
  </sheetData>
  <conditionalFormatting sqref="C3:C4">
    <cfRule type="cellIs" dxfId="4" priority="1" operator="lessThan" stopIfTrue="1">
      <formula>35.87</formula>
    </cfRule>
    <cfRule type="cellIs" dxfId="5" priority="2" operator="lessThan" stopIfTrue="1">
      <formula>31.88</formula>
    </cfRule>
    <cfRule type="cellIs" dxfId="6" priority="3" operator="greaterThan" stopIfTrue="1">
      <formula>43.84</formula>
    </cfRule>
    <cfRule type="cellIs" dxfId="7" priority="4" operator="greaterThan" stopIfTrue="1">
      <formula>48.79</formula>
    </cfRule>
  </conditionalFormatting>
  <conditionalFormatting sqref="D3">
    <cfRule type="cellIs" dxfId="8" priority="1" operator="between" stopIfTrue="1">
      <formula>78.66</formula>
      <formula>69.93</formula>
    </cfRule>
    <cfRule type="cellIs" dxfId="9" priority="2" operator="lessThanOrEqual" stopIfTrue="1">
      <formula>69.92</formula>
    </cfRule>
    <cfRule type="cellIs" dxfId="10" priority="3" operator="between" stopIfTrue="1">
      <formula>96.15</formula>
      <formula>104.88</formula>
    </cfRule>
    <cfRule type="cellIs" dxfId="11" priority="4" operator="greaterThanOrEqual" stopIfTrue="1">
      <formula>104.89</formula>
    </cfRule>
  </conditionalFormatting>
  <conditionalFormatting sqref="D4">
    <cfRule type="cellIs" dxfId="12" priority="1" operator="between" stopIfTrue="1">
      <formula>31.37</formula>
      <formula>27.87</formula>
    </cfRule>
    <cfRule type="cellIs" dxfId="13" priority="2" operator="lessThanOrEqual" stopIfTrue="1">
      <formula>27.88</formula>
    </cfRule>
    <cfRule type="cellIs" dxfId="14" priority="3" operator="between" stopIfTrue="1">
      <formula>38.34</formula>
      <formula>41.82</formula>
    </cfRule>
    <cfRule type="cellIs" dxfId="15" priority="4" operator="greaterThanOrEqual" stopIfTrue="1">
      <formula>41.83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  <legacyDrawing r:id="rId2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65" customHeight="1" outlineLevelRow="0" outlineLevelCol="0"/>
  <cols>
    <col min="1" max="5" width="16.3516" style="76" customWidth="1"/>
    <col min="6" max="16384" width="16.3516" style="76" customWidth="1"/>
  </cols>
  <sheetData>
    <row r="1" ht="30" customHeight="1">
      <c r="A1" t="s" s="17">
        <v>47</v>
      </c>
      <c r="B1" s="17"/>
      <c r="C1" s="17"/>
      <c r="D1" s="17"/>
      <c r="E1" s="17"/>
    </row>
    <row r="2" ht="22.85" customHeight="1">
      <c r="A2" s="77"/>
      <c r="B2" s="78"/>
      <c r="C2" s="78"/>
      <c r="D2" s="78"/>
      <c r="E2" s="79"/>
    </row>
    <row r="3" ht="22.75" customHeight="1">
      <c r="A3" s="80"/>
      <c r="B3" s="81"/>
      <c r="C3" s="81"/>
      <c r="D3" s="81"/>
      <c r="E3" s="82"/>
    </row>
    <row r="4" ht="22.5" customHeight="1">
      <c r="A4" s="83"/>
      <c r="B4" s="84"/>
      <c r="C4" s="84"/>
      <c r="D4" s="84"/>
      <c r="E4" s="85"/>
    </row>
    <row r="5" ht="22.5" customHeight="1">
      <c r="A5" s="83"/>
      <c r="B5" s="86"/>
      <c r="C5" s="86"/>
      <c r="D5" s="86"/>
      <c r="E5" s="87"/>
    </row>
    <row r="6" ht="22.5" customHeight="1">
      <c r="A6" s="83"/>
      <c r="B6" s="84"/>
      <c r="C6" s="84"/>
      <c r="D6" s="84"/>
      <c r="E6" s="85"/>
    </row>
    <row r="7" ht="22.5" customHeight="1">
      <c r="A7" s="83"/>
      <c r="B7" s="86"/>
      <c r="C7" s="86"/>
      <c r="D7" s="86"/>
      <c r="E7" s="87"/>
    </row>
    <row r="8" ht="22.5" customHeight="1">
      <c r="A8" s="83"/>
      <c r="B8" s="84"/>
      <c r="C8" s="84"/>
      <c r="D8" s="84"/>
      <c r="E8" s="85"/>
    </row>
    <row r="9" ht="22.5" customHeight="1">
      <c r="A9" s="83"/>
      <c r="B9" s="86"/>
      <c r="C9" s="86"/>
      <c r="D9" s="86"/>
      <c r="E9" s="87"/>
    </row>
    <row r="10" ht="22.5" customHeight="1">
      <c r="A10" s="83"/>
      <c r="B10" s="84"/>
      <c r="C10" s="84"/>
      <c r="D10" s="84"/>
      <c r="E10" s="85"/>
    </row>
    <row r="11" ht="22.6" customHeight="1">
      <c r="A11" s="88"/>
      <c r="B11" s="89"/>
      <c r="C11" s="89"/>
      <c r="D11" s="89"/>
      <c r="E11" s="90"/>
    </row>
  </sheetData>
  <mergeCells count="1">
    <mergeCell ref="A1:E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65" customHeight="1" outlineLevelRow="0" outlineLevelCol="0"/>
  <cols>
    <col min="1" max="5" width="16.3516" style="91" customWidth="1"/>
    <col min="6" max="16384" width="16.3516" style="91" customWidth="1"/>
  </cols>
  <sheetData>
    <row r="1" ht="30" customHeight="1">
      <c r="A1" t="s" s="17">
        <v>49</v>
      </c>
      <c r="B1" s="17"/>
      <c r="C1" s="17"/>
      <c r="D1" s="17"/>
      <c r="E1" s="17"/>
    </row>
    <row r="2" ht="22.85" customHeight="1">
      <c r="A2" t="s" s="92">
        <v>51</v>
      </c>
      <c r="B2" s="78"/>
      <c r="C2" t="s" s="93">
        <v>52</v>
      </c>
      <c r="D2" s="78"/>
      <c r="E2" s="79"/>
    </row>
    <row r="3" ht="22.75" customHeight="1">
      <c r="A3" t="s" s="94">
        <v>53</v>
      </c>
      <c r="B3" s="81"/>
      <c r="C3" t="s" s="95">
        <v>54</v>
      </c>
      <c r="D3" s="81"/>
      <c r="E3" s="82"/>
    </row>
    <row r="4" ht="22.5" customHeight="1">
      <c r="A4" t="s" s="96">
        <v>55</v>
      </c>
      <c r="B4" s="84"/>
      <c r="C4" t="s" s="97">
        <v>56</v>
      </c>
      <c r="D4" s="84"/>
      <c r="E4" s="85"/>
    </row>
    <row r="5" ht="22.5" customHeight="1">
      <c r="A5" t="s" s="98">
        <v>57</v>
      </c>
      <c r="B5" s="86"/>
      <c r="C5" t="s" s="99">
        <v>58</v>
      </c>
      <c r="D5" s="86"/>
      <c r="E5" s="87"/>
    </row>
    <row r="6" ht="22.5" customHeight="1">
      <c r="A6" t="s" s="96">
        <v>58</v>
      </c>
      <c r="B6" s="84"/>
      <c r="C6" t="s" s="97">
        <v>59</v>
      </c>
      <c r="D6" s="84"/>
      <c r="E6" s="85"/>
    </row>
    <row r="7" ht="22.5" customHeight="1">
      <c r="A7" t="s" s="96">
        <v>54</v>
      </c>
      <c r="B7" s="86"/>
      <c r="C7" t="s" s="100">
        <v>60</v>
      </c>
      <c r="D7" s="86"/>
      <c r="E7" s="87"/>
    </row>
    <row r="8" ht="22.5" customHeight="1">
      <c r="A8" t="s" s="101">
        <v>56</v>
      </c>
      <c r="B8" s="84"/>
      <c r="C8" t="s" s="97">
        <v>61</v>
      </c>
      <c r="D8" s="84"/>
      <c r="E8" s="85"/>
    </row>
    <row r="9" ht="22.5" customHeight="1">
      <c r="A9" s="83"/>
      <c r="B9" s="86"/>
      <c r="C9" t="s" s="100">
        <v>62</v>
      </c>
      <c r="D9" s="86"/>
      <c r="E9" s="87"/>
    </row>
    <row r="10" ht="22.5" customHeight="1">
      <c r="A10" s="83"/>
      <c r="B10" s="84"/>
      <c r="C10" t="s" s="99">
        <v>63</v>
      </c>
      <c r="D10" s="84"/>
      <c r="E10" s="85"/>
    </row>
    <row r="11" ht="22.5" customHeight="1">
      <c r="A11" s="83"/>
      <c r="B11" s="86"/>
      <c r="C11" t="s" s="100">
        <v>64</v>
      </c>
      <c r="D11" s="86"/>
      <c r="E11" s="87"/>
    </row>
    <row r="12" ht="22.5" customHeight="1">
      <c r="A12" s="83"/>
      <c r="B12" s="84"/>
      <c r="C12" t="s" s="97">
        <v>65</v>
      </c>
      <c r="D12" s="84"/>
      <c r="E12" s="85"/>
    </row>
    <row r="13" ht="22.5" customHeight="1">
      <c r="A13" s="83"/>
      <c r="B13" s="86"/>
      <c r="C13" t="s" s="100">
        <v>66</v>
      </c>
      <c r="D13" s="86"/>
      <c r="E13" s="87"/>
    </row>
    <row r="14" ht="22.5" customHeight="1">
      <c r="A14" s="83"/>
      <c r="B14" s="84"/>
      <c r="C14" t="s" s="99">
        <v>67</v>
      </c>
      <c r="D14" s="84"/>
      <c r="E14" s="85"/>
    </row>
    <row r="15" ht="22.5" customHeight="1">
      <c r="A15" s="83"/>
      <c r="B15" s="86"/>
      <c r="C15" t="s" s="100">
        <v>68</v>
      </c>
      <c r="D15" s="86"/>
      <c r="E15" s="87"/>
    </row>
    <row r="16" ht="22.5" customHeight="1">
      <c r="A16" s="83"/>
      <c r="B16" s="84"/>
      <c r="C16" t="s" s="99">
        <v>69</v>
      </c>
      <c r="D16" s="84"/>
      <c r="E16" s="85"/>
    </row>
    <row r="17" ht="22.5" customHeight="1">
      <c r="A17" s="83"/>
      <c r="B17" s="86"/>
      <c r="C17" t="s" s="100">
        <v>70</v>
      </c>
      <c r="D17" s="86"/>
      <c r="E17" s="87"/>
    </row>
    <row r="18" ht="22.5" customHeight="1">
      <c r="A18" s="83"/>
      <c r="B18" s="84"/>
      <c r="C18" t="s" s="99">
        <v>71</v>
      </c>
      <c r="D18" s="84"/>
      <c r="E18" s="85"/>
    </row>
    <row r="19" ht="22.6" customHeight="1">
      <c r="A19" s="88"/>
      <c r="B19" s="89"/>
      <c r="C19" t="s" s="102">
        <v>72</v>
      </c>
      <c r="D19" s="89"/>
      <c r="E19" s="90"/>
    </row>
  </sheetData>
  <mergeCells count="1">
    <mergeCell ref="A1:E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style="103" customWidth="1"/>
  </cols>
  <sheetData/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3"/>
  <sheetViews>
    <sheetView workbookViewId="0" showGridLines="0" defaultGridColor="1"/>
  </sheetViews>
  <sheetFormatPr defaultColWidth="26.2615" defaultRowHeight="21.65" customHeight="1" outlineLevelRow="0" outlineLevelCol="0"/>
  <cols>
    <col min="1" max="1" width="26.2656" style="104" customWidth="1"/>
    <col min="2" max="2" width="28" style="104" customWidth="1"/>
    <col min="3" max="3" width="3.35156" style="104" customWidth="1"/>
    <col min="4" max="16384" width="26.2656" style="104" customWidth="1"/>
  </cols>
  <sheetData>
    <row r="1" ht="80" customHeight="1">
      <c r="A1" t="s" s="7">
        <v>77</v>
      </c>
      <c r="B1" s="8" cm="1">
        <f t="array" ref="B1">'ETF BRASIL - Meu Portfólio'!K$4</f>
        <v>31226</v>
      </c>
      <c r="C1" s="9"/>
    </row>
    <row r="2" ht="64" customHeight="1">
      <c r="A2" t="s" s="105">
        <v>8</v>
      </c>
      <c r="B2" s="11" cm="1">
        <f t="array" ref="B2">'ETF BRASIL - Meu Portfólio'!L4-'ETF BRASIL - Meu Portfólio'!M4</f>
        <v>-5096</v>
      </c>
      <c r="C2" t="str" s="12" cm="1">
        <f t="array" ref="C2">IF(B2&gt;0,"↑",IF(B2&lt;0,"↓","–"))</f>
        <v>↓</v>
      </c>
    </row>
    <row r="3" ht="64" customHeight="1">
      <c r="A3" t="s" s="13">
        <v>10</v>
      </c>
      <c r="B3" s="14" cm="1">
        <f t="array" ref="B3">'ETF BRASIL - Meu Portfólio'!O$4</f>
        <v>-0.140300644237652</v>
      </c>
      <c r="C3" t="str" s="15" cm="1">
        <f t="array" ref="C3">IF(B3="–","–",IF(B3&gt;0,"↑",IF(B3&lt;0,"↓","–")))</f>
        <v>↓</v>
      </c>
    </row>
  </sheetData>
  <mergeCells count="1">
    <mergeCell ref="B1:C1"/>
  </mergeCells>
  <conditionalFormatting sqref="B2:B3">
    <cfRule type="cellIs" dxfId="16" priority="1" operator="greaterThan" stopIfTrue="1">
      <formula>0</formula>
    </cfRule>
    <cfRule type="cellIs" dxfId="17" priority="2" operator="lessThan" stopIfTrue="1">
      <formula>0</formula>
    </cfRule>
  </conditionalFormatting>
  <conditionalFormatting sqref="C2:C3">
    <cfRule type="cellIs" dxfId="18" priority="1" operator="equal" stopIfTrue="1">
      <formula>"↑"</formula>
    </cfRule>
    <cfRule type="cellIs" dxfId="19" priority="2" operator="equal" stopIfTrue="1">
      <formula>"↓"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5"/>
  <sheetViews>
    <sheetView workbookViewId="0" showGridLines="0" defaultGridColor="1"/>
  </sheetViews>
  <sheetFormatPr defaultColWidth="16.3333" defaultRowHeight="21.65" customHeight="1" outlineLevelRow="0" outlineLevelCol="0"/>
  <cols>
    <col min="1" max="1" width="16.3516" style="106" customWidth="1"/>
    <col min="2" max="2" width="43.4297" style="106" customWidth="1"/>
    <col min="3" max="16384" width="16.3516" style="106" customWidth="1"/>
  </cols>
  <sheetData>
    <row r="1" ht="30" customHeight="1">
      <c r="A1" t="s" s="17">
        <v>11</v>
      </c>
      <c r="B1" s="17"/>
    </row>
    <row r="2" ht="22.6" customHeight="1">
      <c r="A2" s="18"/>
      <c r="B2" t="s" s="19">
        <v>13</v>
      </c>
    </row>
    <row r="3" ht="22.5" customHeight="1">
      <c r="A3" s="20"/>
      <c r="B3" t="s" s="21">
        <v>79</v>
      </c>
    </row>
    <row r="4" ht="22.5" customHeight="1">
      <c r="A4" s="22"/>
      <c r="B4" t="s" s="23">
        <v>15</v>
      </c>
    </row>
    <row r="5" ht="22.6" customHeight="1">
      <c r="A5" s="24"/>
      <c r="B5" t="s" s="25">
        <v>16</v>
      </c>
    </row>
  </sheetData>
  <mergeCells count="1">
    <mergeCell ref="A1:B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4"/>
  <sheetViews>
    <sheetView workbookViewId="0" showGridLines="0" defaultGridColor="1">
      <pane topLeftCell="B1" xSplit="1" ySplit="0" activePane="topRight" state="frozen"/>
    </sheetView>
  </sheetViews>
  <sheetFormatPr defaultColWidth="11.6667" defaultRowHeight="21.65" customHeight="1" outlineLevelRow="0" outlineLevelCol="0"/>
  <cols>
    <col min="1" max="1" width="10.2734" style="107" customWidth="1"/>
    <col min="2" max="2" width="26.3438" style="107" customWidth="1"/>
    <col min="3" max="4" width="10.6094" style="107" customWidth="1"/>
    <col min="5" max="5" width="11.8047" style="107" customWidth="1"/>
    <col min="6" max="6" width="12.1328" style="107" customWidth="1"/>
    <col min="7" max="7" width="11.1172" style="107" customWidth="1"/>
    <col min="8" max="8" width="8.75" style="107" customWidth="1"/>
    <col min="9" max="9" hidden="1" width="11.6667" style="107" customWidth="1"/>
    <col min="10" max="10" width="12.1328" style="107" customWidth="1"/>
    <col min="11" max="11" width="12.7891" style="107" customWidth="1"/>
    <col min="12" max="12" width="12.1328" style="107" customWidth="1"/>
    <col min="13" max="14" hidden="1" width="11.6667" style="107" customWidth="1"/>
    <col min="15" max="17" width="12.1328" style="107" customWidth="1"/>
    <col min="18" max="18" width="15.2266" style="107" customWidth="1"/>
    <col min="19" max="21" width="12.1328" style="107" customWidth="1"/>
    <col min="22" max="22" width="17.8906" style="107" customWidth="1"/>
    <col min="23" max="24" width="12.1328" style="107" customWidth="1"/>
    <col min="25" max="16384" width="11.6719" style="107" customWidth="1"/>
  </cols>
  <sheetData>
    <row r="1" ht="22.6" customHeight="1">
      <c r="A1" t="s" s="27">
        <v>81</v>
      </c>
      <c r="B1" s="28"/>
      <c r="C1" s="29"/>
      <c r="D1" s="28"/>
      <c r="E1" s="28"/>
      <c r="F1" s="28"/>
      <c r="G1" s="28"/>
      <c r="H1" s="28"/>
      <c r="I1" s="30"/>
      <c r="J1" s="28"/>
      <c r="K1" s="28"/>
      <c r="L1" s="28"/>
      <c r="M1" s="28"/>
      <c r="N1" s="28"/>
      <c r="O1" s="28"/>
      <c r="P1" s="29"/>
      <c r="Q1" s="29"/>
      <c r="R1" s="29"/>
      <c r="S1" s="29"/>
      <c r="T1" s="29"/>
      <c r="U1" s="29"/>
      <c r="V1" s="29"/>
      <c r="W1" s="28"/>
      <c r="X1" s="31"/>
    </row>
    <row r="2" ht="64.5" customHeight="1">
      <c r="A2" t="s" s="32">
        <v>19</v>
      </c>
      <c r="B2" t="s" s="33">
        <v>20</v>
      </c>
      <c r="C2" t="s" s="34">
        <v>82</v>
      </c>
      <c r="D2" t="s" s="33">
        <v>22</v>
      </c>
      <c r="E2" t="s" s="33">
        <v>23</v>
      </c>
      <c r="F2" t="s" s="34">
        <v>24</v>
      </c>
      <c r="G2" t="s" s="33">
        <v>10</v>
      </c>
      <c r="H2" t="s" s="33">
        <v>83</v>
      </c>
      <c r="I2" t="s" s="35">
        <v>26</v>
      </c>
      <c r="J2" t="s" s="33">
        <v>84</v>
      </c>
      <c r="K2" t="s" s="33">
        <v>7</v>
      </c>
      <c r="L2" t="s" s="33">
        <v>28</v>
      </c>
      <c r="M2" t="s" s="33">
        <v>29</v>
      </c>
      <c r="N2" t="s" s="33">
        <v>30</v>
      </c>
      <c r="O2" s="33"/>
      <c r="P2" t="s" s="34">
        <v>85</v>
      </c>
      <c r="Q2" t="s" s="34">
        <v>86</v>
      </c>
      <c r="R2" t="s" s="34">
        <v>33</v>
      </c>
      <c r="S2" t="s" s="34">
        <v>87</v>
      </c>
      <c r="T2" t="s" s="34">
        <v>35</v>
      </c>
      <c r="U2" t="s" s="34">
        <v>36</v>
      </c>
      <c r="V2" t="s" s="34">
        <v>37</v>
      </c>
      <c r="W2" t="s" s="33">
        <v>38</v>
      </c>
      <c r="X2" t="s" s="36">
        <v>39</v>
      </c>
    </row>
    <row r="3" ht="22.75" customHeight="1">
      <c r="A3" t="s" s="48">
        <v>88</v>
      </c>
      <c r="B3" t="str" s="108">
        <v>ETF BV COIN CI  ER</v>
      </c>
      <c r="C3" t="s" s="109">
        <v>90</v>
      </c>
      <c r="D3" s="110">
        <v>48.04</v>
      </c>
      <c r="E3" s="110">
        <v>55.88</v>
      </c>
      <c r="F3" s="110" cm="1">
        <f t="array" ref="F3">D3-E3</f>
        <v>-7.84</v>
      </c>
      <c r="G3" s="111" cm="1">
        <f t="array" ref="G3">(D3-E3)/E3</f>
        <v>-0.140300644237652</v>
      </c>
      <c r="H3" s="112">
        <v>650</v>
      </c>
      <c r="I3" s="113">
        <v>0.20426506</v>
      </c>
      <c r="J3" s="114">
        <v>36322</v>
      </c>
      <c r="K3" s="114">
        <v>31226</v>
      </c>
      <c r="L3" s="114" cm="1">
        <f t="array" ref="L3">_xlfn.IFERROR(K3-J3,"–")</f>
        <v>-5096</v>
      </c>
      <c r="M3" s="114">
        <v>0</v>
      </c>
      <c r="N3" s="115" cm="1">
        <f t="array" ref="N3">_xlfn.IFERROR((K3-J3)/J3,"–")</f>
        <v>-0.140300644237652</v>
      </c>
      <c r="O3" s="108"/>
      <c r="P3" s="116">
        <v>46090</v>
      </c>
      <c r="Q3" s="108"/>
      <c r="R3" s="108"/>
      <c r="S3" s="108" cm="1">
        <f t="array" ref="S3">H3+Q3</f>
      </c>
      <c r="T3" s="117" cm="1">
        <f t="array" ref="T3">D3/Q3</f>
      </c>
      <c r="U3" s="108" cm="1">
        <f t="array" ref="U3">T3-H3</f>
      </c>
      <c r="V3" s="117" cm="1">
        <f t="array" ref="V3">S3/D3</f>
      </c>
      <c r="W3" s="118">
        <v>42.41</v>
      </c>
      <c r="X3" s="119">
        <v>97.67</v>
      </c>
    </row>
    <row r="4" ht="22.85" customHeight="1">
      <c r="A4" t="s" s="63">
        <v>46</v>
      </c>
      <c r="B4" s="64"/>
      <c r="C4" s="65"/>
      <c r="D4" s="64"/>
      <c r="E4" s="64"/>
      <c r="F4" s="64"/>
      <c r="G4" s="64"/>
      <c r="H4" s="66" cm="1">
        <f t="array" ref="H4">SUM(H3:H3)</f>
        <v>650</v>
      </c>
      <c r="I4" s="67"/>
      <c r="J4" s="68" cm="1">
        <f t="array" ref="J4">SUM(J3:J3)</f>
        <v>36322</v>
      </c>
      <c r="K4" s="68" cm="1">
        <f t="array" ref="K4">SUM(K3:K3)</f>
        <v>31226</v>
      </c>
      <c r="L4" s="68" cm="1">
        <f t="array" ref="L4">SUM(L3:L3)</f>
        <v>-5096</v>
      </c>
      <c r="M4" s="69" cm="1">
        <f t="array" ref="M4">SUM(M3:M3)</f>
        <v>0</v>
      </c>
      <c r="N4" s="70" cm="1">
        <f t="array" ref="N4">(K4-J4)/J4</f>
        <v>-0.140300644237652</v>
      </c>
      <c r="O4" s="120" cm="1">
        <f t="array" ref="O4">(K$4-J$4)/J$4</f>
        <v>-0.140300644237652</v>
      </c>
      <c r="P4" s="121" cm="1">
        <f t="array" ref="P4">SUM(P3:P3)</f>
        <v>46090</v>
      </c>
      <c r="Q4" s="65" cm="1">
        <f t="array" ref="Q4">SUM(Q3:Q3)</f>
      </c>
      <c r="R4" s="73" cm="1">
        <f t="array" ref="R4">SUM(R3:R3)</f>
        <v>0</v>
      </c>
      <c r="S4" s="65" cm="1">
        <f t="array" ref="S4">SUM(S3:S3)</f>
      </c>
      <c r="T4" s="65" cm="1">
        <f t="array" ref="T4">SUM(T3:T3)</f>
      </c>
      <c r="U4" s="65" cm="1">
        <f t="array" ref="U4">SUM(U3:U3)</f>
      </c>
      <c r="V4" s="65" cm="1">
        <f t="array" ref="V4">SUM(V3:V3)</f>
      </c>
      <c r="W4" s="74" cm="1">
        <f t="array" ref="W4">SUM(W3:W3)</f>
        <v>42.41</v>
      </c>
      <c r="X4" s="75" cm="1">
        <f t="array" ref="X4">SUM(X3:X3)</f>
        <v>97.67</v>
      </c>
    </row>
  </sheetData>
  <conditionalFormatting sqref="C3">
    <cfRule type="cellIs" dxfId="20" priority="1" operator="lessThan" stopIfTrue="1">
      <formula>35.87</formula>
    </cfRule>
    <cfRule type="cellIs" dxfId="21" priority="2" operator="lessThan" stopIfTrue="1">
      <formula>31.88</formula>
    </cfRule>
    <cfRule type="cellIs" dxfId="22" priority="3" operator="greaterThan" stopIfTrue="1">
      <formula>43.84</formula>
    </cfRule>
    <cfRule type="cellIs" dxfId="23" priority="4" operator="greaterThan" stopIfTrue="1">
      <formula>48.79</formula>
    </cfRule>
  </conditionalFormatting>
  <conditionalFormatting sqref="D3">
    <cfRule type="cellIs" dxfId="24" priority="1" operator="between" stopIfTrue="1">
      <formula>50.29</formula>
      <formula>44.71</formula>
    </cfRule>
    <cfRule type="cellIs" dxfId="25" priority="2" operator="lessThanOrEqual" stopIfTrue="1">
      <formula>44.7</formula>
    </cfRule>
    <cfRule type="cellIs" dxfId="26" priority="3" operator="between" stopIfTrue="1">
      <formula>61.46</formula>
      <formula>67.04</formula>
    </cfRule>
    <cfRule type="cellIs" dxfId="27" priority="4" operator="greaterThanOrEqual" stopIfTrue="1">
      <formula>67.05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  <legacyDrawing r:id="rId2"/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65" customHeight="1" outlineLevelRow="0" outlineLevelCol="0"/>
  <cols>
    <col min="1" max="5" width="16.3516" style="122" customWidth="1"/>
    <col min="6" max="16384" width="16.3516" style="122" customWidth="1"/>
  </cols>
  <sheetData>
    <row r="1" ht="30" customHeight="1">
      <c r="A1" t="s" s="17">
        <v>47</v>
      </c>
      <c r="B1" s="17"/>
      <c r="C1" s="17"/>
      <c r="D1" s="17"/>
      <c r="E1" s="17"/>
    </row>
    <row r="2" ht="22.85" customHeight="1">
      <c r="A2" s="77"/>
      <c r="B2" s="78"/>
      <c r="C2" s="78"/>
      <c r="D2" s="78"/>
      <c r="E2" s="79"/>
    </row>
    <row r="3" ht="22.75" customHeight="1">
      <c r="A3" s="80"/>
      <c r="B3" s="81"/>
      <c r="C3" s="81"/>
      <c r="D3" s="81"/>
      <c r="E3" s="82"/>
    </row>
    <row r="4" ht="22.5" customHeight="1">
      <c r="A4" s="83"/>
      <c r="B4" s="84"/>
      <c r="C4" s="84"/>
      <c r="D4" s="84"/>
      <c r="E4" s="85"/>
    </row>
    <row r="5" ht="22.5" customHeight="1">
      <c r="A5" s="83"/>
      <c r="B5" s="86"/>
      <c r="C5" s="86"/>
      <c r="D5" s="86"/>
      <c r="E5" s="87"/>
    </row>
    <row r="6" ht="22.5" customHeight="1">
      <c r="A6" s="83"/>
      <c r="B6" s="84"/>
      <c r="C6" s="84"/>
      <c r="D6" s="84"/>
      <c r="E6" s="85"/>
    </row>
    <row r="7" ht="22.5" customHeight="1">
      <c r="A7" s="83"/>
      <c r="B7" s="86"/>
      <c r="C7" s="86"/>
      <c r="D7" s="86"/>
      <c r="E7" s="87"/>
    </row>
    <row r="8" ht="22.5" customHeight="1">
      <c r="A8" s="83"/>
      <c r="B8" s="84"/>
      <c r="C8" s="84"/>
      <c r="D8" s="84"/>
      <c r="E8" s="85"/>
    </row>
    <row r="9" ht="22.5" customHeight="1">
      <c r="A9" s="83"/>
      <c r="B9" s="86"/>
      <c r="C9" s="86"/>
      <c r="D9" s="86"/>
      <c r="E9" s="87"/>
    </row>
    <row r="10" ht="22.5" customHeight="1">
      <c r="A10" s="83"/>
      <c r="B10" s="84"/>
      <c r="C10" s="84"/>
      <c r="D10" s="84"/>
      <c r="E10" s="85"/>
    </row>
    <row r="11" ht="22.6" customHeight="1">
      <c r="A11" s="88"/>
      <c r="B11" s="89"/>
      <c r="C11" s="89"/>
      <c r="D11" s="89"/>
      <c r="E11" s="90"/>
    </row>
  </sheetData>
  <mergeCells count="1">
    <mergeCell ref="A1:E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style="123" customWidth="1"/>
  </cols>
  <sheetData/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3"/>
  <sheetViews>
    <sheetView workbookViewId="0" showGridLines="0" defaultGridColor="1"/>
  </sheetViews>
  <sheetFormatPr defaultColWidth="26.2615" defaultRowHeight="21.65" customHeight="1" outlineLevelRow="0" outlineLevelCol="0"/>
  <cols>
    <col min="1" max="1" width="26.2656" style="124" customWidth="1"/>
    <col min="2" max="2" width="28" style="124" customWidth="1"/>
    <col min="3" max="3" width="3.35156" style="124" customWidth="1"/>
    <col min="4" max="16384" width="26.2656" style="124" customWidth="1"/>
  </cols>
  <sheetData>
    <row r="1" ht="80" customHeight="1">
      <c r="A1" t="s" s="7">
        <v>7</v>
      </c>
      <c r="B1" s="125" cm="1">
        <f t="array" ref="B1">'ETF USA - Meu Portfólio'!K$10</f>
        <v>24349.40580612</v>
      </c>
      <c r="C1" s="9"/>
    </row>
    <row r="2" ht="64" customHeight="1">
      <c r="A2" t="s" s="10">
        <v>95</v>
      </c>
      <c r="B2" s="11" cm="1">
        <f t="array" ref="B2">'ETF USA - Meu Portfólio'!L10-'ETF USA - Meu Portfólio'!M10</f>
        <v>850.69935514</v>
      </c>
      <c r="C2" t="str" s="12" cm="1">
        <f t="array" ref="C2">IF(B2&gt;0,"↑",IF(B2&lt;0,"↓","–"))</f>
        <v>↑</v>
      </c>
    </row>
    <row r="3" ht="64" customHeight="1">
      <c r="A3" t="s" s="13">
        <v>10</v>
      </c>
      <c r="B3" s="14" cm="1">
        <f t="array" ref="B3">'ETF USA - Meu Portfólio'!O$10</f>
        <v>0.144261324112153</v>
      </c>
      <c r="C3" t="str" s="15" cm="1">
        <f t="array" ref="C3">IF(B3="–","–",IF(B3&gt;0,"↑",IF(B3&lt;0,"↓","–")))</f>
        <v>↑</v>
      </c>
    </row>
  </sheetData>
  <mergeCells count="1">
    <mergeCell ref="B1:C1"/>
  </mergeCells>
  <conditionalFormatting sqref="B2:B3">
    <cfRule type="cellIs" dxfId="28" priority="1" operator="greaterThan" stopIfTrue="1">
      <formula>0</formula>
    </cfRule>
    <cfRule type="cellIs" dxfId="29" priority="2" operator="lessThan" stopIfTrue="1">
      <formula>0</formula>
    </cfRule>
  </conditionalFormatting>
  <conditionalFormatting sqref="C2:C3">
    <cfRule type="cellIs" dxfId="30" priority="1" operator="equal" stopIfTrue="1">
      <formula>"↑"</formula>
    </cfRule>
    <cfRule type="cellIs" dxfId="31" priority="2" operator="equal" stopIfTrue="1">
      <formula>"↓"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5"/>
  <sheetViews>
    <sheetView workbookViewId="0" showGridLines="0" defaultGridColor="1"/>
  </sheetViews>
  <sheetFormatPr defaultColWidth="16.3333" defaultRowHeight="21.65" customHeight="1" outlineLevelRow="0" outlineLevelCol="0"/>
  <cols>
    <col min="1" max="1" width="16.3516" style="126" customWidth="1"/>
    <col min="2" max="2" width="43.4297" style="126" customWidth="1"/>
    <col min="3" max="16384" width="16.3516" style="126" customWidth="1"/>
  </cols>
  <sheetData>
    <row r="1" ht="30" customHeight="1">
      <c r="A1" t="s" s="17">
        <v>11</v>
      </c>
      <c r="B1" s="17"/>
    </row>
    <row r="2" ht="22.6" customHeight="1">
      <c r="A2" s="18"/>
      <c r="B2" t="s" s="19">
        <v>13</v>
      </c>
    </row>
    <row r="3" ht="22.5" customHeight="1">
      <c r="A3" s="20"/>
      <c r="B3" t="s" s="21">
        <v>79</v>
      </c>
    </row>
    <row r="4" ht="22.5" customHeight="1">
      <c r="A4" s="22"/>
      <c r="B4" t="s" s="23">
        <v>15</v>
      </c>
    </row>
    <row r="5" ht="22.6" customHeight="1">
      <c r="A5" s="24"/>
      <c r="B5" t="s" s="25">
        <v>16</v>
      </c>
    </row>
  </sheetData>
  <mergeCells count="1">
    <mergeCell ref="A1:B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W10"/>
  <sheetViews>
    <sheetView workbookViewId="0" showGridLines="0" defaultGridColor="1"/>
  </sheetViews>
  <sheetFormatPr defaultColWidth="11.6667" defaultRowHeight="21.65" customHeight="1" outlineLevelRow="0" outlineLevelCol="0"/>
  <cols>
    <col min="1" max="1" width="10.2734" style="127" customWidth="1"/>
    <col min="2" max="2" width="26.3438" style="127" customWidth="1"/>
    <col min="3" max="3" width="28.4922" style="127" customWidth="1"/>
    <col min="4" max="4" width="10.6094" style="127" customWidth="1"/>
    <col min="5" max="5" width="11.8047" style="127" customWidth="1"/>
    <col min="6" max="6" width="12.1328" style="127" customWidth="1"/>
    <col min="7" max="7" width="11.1172" style="127" customWidth="1"/>
    <col min="8" max="8" width="8.75" style="127" customWidth="1"/>
    <col min="9" max="9" hidden="1" width="11.6667" style="127" customWidth="1"/>
    <col min="10" max="11" width="14.6016" style="127" customWidth="1"/>
    <col min="12" max="12" width="12.1328" style="127" customWidth="1"/>
    <col min="13" max="14" hidden="1" width="11.6667" style="127" customWidth="1"/>
    <col min="15" max="20" width="12.1328" style="127" customWidth="1"/>
    <col min="21" max="21" width="17.8906" style="127" customWidth="1"/>
    <col min="22" max="23" width="12.1328" style="127" customWidth="1"/>
    <col min="24" max="16384" width="11.6719" style="127" customWidth="1"/>
  </cols>
  <sheetData>
    <row r="1" ht="22.6" customHeight="1">
      <c r="A1" s="27"/>
      <c r="B1" s="28"/>
      <c r="C1" s="29"/>
      <c r="D1" s="28"/>
      <c r="E1" s="28"/>
      <c r="F1" s="28"/>
      <c r="G1" s="28"/>
      <c r="H1" s="28"/>
      <c r="I1" s="30"/>
      <c r="J1" s="28"/>
      <c r="K1" s="28"/>
      <c r="L1" s="28"/>
      <c r="M1" s="28"/>
      <c r="N1" s="28"/>
      <c r="O1" s="28"/>
      <c r="P1" s="29"/>
      <c r="Q1" s="28"/>
      <c r="R1" s="28"/>
      <c r="S1" s="28"/>
      <c r="T1" s="28"/>
      <c r="U1" s="28"/>
      <c r="V1" s="28"/>
      <c r="W1" s="31"/>
    </row>
    <row r="2" ht="50.5" customHeight="1">
      <c r="A2" t="s" s="32">
        <v>19</v>
      </c>
      <c r="B2" t="s" s="33">
        <v>20</v>
      </c>
      <c r="C2" t="s" s="34">
        <v>82</v>
      </c>
      <c r="D2" t="s" s="33">
        <v>22</v>
      </c>
      <c r="E2" t="s" s="33">
        <v>23</v>
      </c>
      <c r="F2" t="s" s="34">
        <v>24</v>
      </c>
      <c r="G2" t="s" s="33">
        <v>10</v>
      </c>
      <c r="H2" t="s" s="33">
        <v>83</v>
      </c>
      <c r="I2" t="s" s="35">
        <v>26</v>
      </c>
      <c r="J2" t="s" s="33">
        <v>84</v>
      </c>
      <c r="K2" t="s" s="33">
        <v>7</v>
      </c>
      <c r="L2" t="s" s="33">
        <v>28</v>
      </c>
      <c r="M2" t="s" s="33">
        <v>29</v>
      </c>
      <c r="N2" t="s" s="33">
        <v>30</v>
      </c>
      <c r="O2" s="33"/>
      <c r="P2" t="s" s="34">
        <v>85</v>
      </c>
      <c r="Q2" t="s" s="34">
        <v>99</v>
      </c>
      <c r="R2" t="s" s="33">
        <v>87</v>
      </c>
      <c r="S2" t="s" s="33">
        <v>35</v>
      </c>
      <c r="T2" t="s" s="33">
        <v>36</v>
      </c>
      <c r="U2" t="s" s="34">
        <v>37</v>
      </c>
      <c r="V2" t="s" s="33">
        <v>38</v>
      </c>
      <c r="W2" t="s" s="36">
        <v>39</v>
      </c>
    </row>
    <row r="3" ht="22.5" customHeight="1">
      <c r="A3" t="s" s="37">
        <v>100</v>
      </c>
      <c r="B3" t="str" s="38">
        <v>iShares 20+ Year Treasury Bond </v>
      </c>
      <c r="C3" t="s" s="128">
        <v>102</v>
      </c>
      <c r="D3" s="129">
        <v>85.65000000000001</v>
      </c>
      <c r="E3" s="129">
        <v>88.08</v>
      </c>
      <c r="F3" s="129" cm="1">
        <f t="array" ref="F3">D3-E3</f>
        <v>-2.43</v>
      </c>
      <c r="G3" s="41" cm="1">
        <f t="array" ref="G3">(D3-E3)/E3</f>
        <v>-0.0275885558583106</v>
      </c>
      <c r="H3" s="42">
        <v>5.677</v>
      </c>
      <c r="I3" s="43">
        <v>0.20426506</v>
      </c>
      <c r="J3" s="44">
        <v>2447.947651296</v>
      </c>
      <c r="K3" s="130">
        <v>2380.41231078</v>
      </c>
      <c r="L3" s="44" cm="1">
        <f t="array" ref="L3">_xlfn.IFERROR(K3-J3,"–")</f>
        <v>-67.53534051600001</v>
      </c>
      <c r="M3" s="44">
        <v>-2.41599102537293e-14</v>
      </c>
      <c r="N3" s="45" cm="1">
        <f t="array" ref="N3">_xlfn.IFERROR((K3-J3)/J3,"–")</f>
        <v>-0.0275885558583106</v>
      </c>
      <c r="O3" s="38"/>
      <c r="P3" s="131">
        <v>46086</v>
      </c>
      <c r="Q3" s="132">
        <v>0.3</v>
      </c>
      <c r="R3" s="40">
        <v>8.337696360000001</v>
      </c>
      <c r="S3" s="133" cm="1">
        <f t="array" ref="S3">D3/Q3</f>
        <v>285.5</v>
      </c>
      <c r="T3" s="133" cm="1">
        <f t="array" ref="T3">S3-H3</f>
        <v>279.823</v>
      </c>
      <c r="U3" s="133" cm="1">
        <f t="array" ref="U3">R3/D3</f>
        <v>0.0973461338003503</v>
      </c>
      <c r="V3" s="132">
        <v>83.3</v>
      </c>
      <c r="W3" s="134">
        <v>92.19</v>
      </c>
    </row>
    <row r="4" ht="22.5" customHeight="1">
      <c r="A4" t="s" s="37">
        <v>103</v>
      </c>
      <c r="B4" t="str" s="135">
        <v>Vanguard Total Bond Market ETF</v>
      </c>
      <c r="C4" t="s" s="136">
        <v>105</v>
      </c>
      <c r="D4" s="137">
        <v>73.36</v>
      </c>
      <c r="E4" s="137">
        <v>74.26000000000001</v>
      </c>
      <c r="F4" s="137" cm="1">
        <f t="array" ref="F4">D4-E4</f>
        <v>-0.9</v>
      </c>
      <c r="G4" s="138" cm="1">
        <f t="array" ref="G4">(D4-E4)/E4</f>
        <v>-0.012119579854565</v>
      </c>
      <c r="H4" s="139">
        <v>6.733</v>
      </c>
      <c r="I4" s="140"/>
      <c r="J4" s="141">
        <v>2447.763674648</v>
      </c>
      <c r="K4" s="142">
        <v>2418.097807328</v>
      </c>
      <c r="L4" s="141" cm="1">
        <f t="array" ref="L4">_xlfn.IFERROR(K4-J4,"–")</f>
        <v>-29.66586732</v>
      </c>
      <c r="M4" s="84"/>
      <c r="N4" s="143"/>
      <c r="O4" s="135"/>
      <c r="P4" s="144">
        <v>46085</v>
      </c>
      <c r="Q4" s="145">
        <v>0.22</v>
      </c>
      <c r="R4" s="146">
        <v>7.251656456</v>
      </c>
      <c r="S4" s="147" cm="1">
        <f t="array" ref="S4">D4/Q4</f>
        <v>333.454545454545</v>
      </c>
      <c r="T4" s="147" cm="1">
        <f t="array" ref="T4">S4-H4</f>
        <v>326.721545454545</v>
      </c>
      <c r="U4" s="147" cm="1">
        <f t="array" ref="U4">R4/D4</f>
        <v>0.0988502788440567</v>
      </c>
      <c r="V4" s="145">
        <v>71.76000000000001</v>
      </c>
      <c r="W4" s="148">
        <v>75.23</v>
      </c>
    </row>
    <row r="5" ht="36.5" customHeight="1">
      <c r="A5" t="s" s="37">
        <v>106</v>
      </c>
      <c r="B5" t="str" s="38">
        <v>iShares Core Universal USD Bond</v>
      </c>
      <c r="C5" t="s" s="128">
        <v>105</v>
      </c>
      <c r="D5" s="129">
        <v>46.12</v>
      </c>
      <c r="E5" s="129">
        <v>46.93</v>
      </c>
      <c r="F5" s="129" cm="1">
        <f t="array" ref="F5">D5-E5</f>
        <v>-0.8100000000000001</v>
      </c>
      <c r="G5" s="41" cm="1">
        <f t="array" ref="G5">(D5-E5)/E5</f>
        <v>-0.0172597485616876</v>
      </c>
      <c r="H5" s="42">
        <v>21.307</v>
      </c>
      <c r="I5" s="43"/>
      <c r="J5" s="44">
        <v>4895.294073956</v>
      </c>
      <c r="K5" s="130">
        <v>4810.802529104</v>
      </c>
      <c r="L5" s="44" cm="1">
        <f t="array" ref="L5">_xlfn.IFERROR(K5-J5,"–")</f>
        <v>-84.491544852</v>
      </c>
      <c r="M5" s="86"/>
      <c r="N5" s="45"/>
      <c r="O5" s="38"/>
      <c r="P5" s="131">
        <v>46058</v>
      </c>
      <c r="Q5" s="132">
        <v>0.16</v>
      </c>
      <c r="R5" s="40">
        <v>16.689687872</v>
      </c>
      <c r="S5" s="133" cm="1">
        <f t="array" ref="S5">D5/Q5</f>
        <v>288.25</v>
      </c>
      <c r="T5" s="133" cm="1">
        <f t="array" ref="T5">S5-H5</f>
        <v>266.943</v>
      </c>
      <c r="U5" s="133" cm="1">
        <f t="array" ref="U5">R5/D5</f>
        <v>0.361875279098005</v>
      </c>
      <c r="V5" s="132">
        <v>45.07</v>
      </c>
      <c r="W5" s="134">
        <v>47.23</v>
      </c>
    </row>
    <row r="6" ht="22.5" customHeight="1">
      <c r="A6" t="s" s="37">
        <v>108</v>
      </c>
      <c r="B6" t="str" s="135">
        <v>JPMorgan Core Plus Bond ETF</v>
      </c>
      <c r="C6" t="s" s="136">
        <v>110</v>
      </c>
      <c r="D6" s="137">
        <v>46.89</v>
      </c>
      <c r="E6" s="137">
        <v>47.65</v>
      </c>
      <c r="F6" s="137" cm="1">
        <f t="array" ref="F6">D6-E6</f>
        <v>-0.76</v>
      </c>
      <c r="G6" s="138" cm="1">
        <f t="array" ref="G6">(D6-E6)/E6</f>
        <v>-0.0159496327387198</v>
      </c>
      <c r="H6" s="139">
        <v>10.493</v>
      </c>
      <c r="I6" s="140"/>
      <c r="J6" s="141">
        <v>2447.75814262</v>
      </c>
      <c r="K6" s="142">
        <v>2408.717299212</v>
      </c>
      <c r="L6" s="141" cm="1">
        <f t="array" ref="L6">_xlfn.IFERROR(K6-J6,"–")</f>
        <v>-39.040843408</v>
      </c>
      <c r="M6" s="84"/>
      <c r="N6" s="143"/>
      <c r="O6" s="135"/>
      <c r="P6" s="144">
        <v>46086</v>
      </c>
      <c r="Q6" s="145">
        <v>0.18</v>
      </c>
      <c r="R6" s="146">
        <v>9.246515543999999</v>
      </c>
      <c r="S6" s="147" cm="1">
        <f t="array" ref="S6">D6/Q6</f>
        <v>260.5</v>
      </c>
      <c r="T6" s="147" cm="1">
        <f t="array" ref="T6">S6-H6</f>
        <v>250.007</v>
      </c>
      <c r="U6" s="147" cm="1">
        <f t="array" ref="U6">R6/D6</f>
        <v>0.197195895585413</v>
      </c>
      <c r="V6" s="145">
        <v>45.85</v>
      </c>
      <c r="W6" s="148">
        <v>48.17</v>
      </c>
    </row>
    <row r="7" ht="22.5" customHeight="1">
      <c r="A7" t="s" s="37">
        <v>111</v>
      </c>
      <c r="B7" t="str" s="38">
        <v>iShares International Aggregate</v>
      </c>
      <c r="C7" t="s" s="128">
        <v>113</v>
      </c>
      <c r="D7" s="129">
        <v>50.04</v>
      </c>
      <c r="E7" s="129">
        <v>50.16</v>
      </c>
      <c r="F7" s="129" cm="1">
        <f t="array" ref="F7">D7-E7</f>
        <v>-0.12</v>
      </c>
      <c r="G7" s="41" cm="1">
        <f t="array" ref="G7">(D7-E7)/E7</f>
        <v>-0.00239234449760766</v>
      </c>
      <c r="H7" s="42">
        <v>5.981</v>
      </c>
      <c r="I7" s="43"/>
      <c r="J7" s="44">
        <v>1468.714073376</v>
      </c>
      <c r="K7" s="130">
        <v>1465.200403344</v>
      </c>
      <c r="L7" s="44" cm="1">
        <f t="array" ref="L7">_xlfn.IFERROR(K7-J7,"–")</f>
        <v>-3.513670032</v>
      </c>
      <c r="M7" s="86"/>
      <c r="N7" s="45"/>
      <c r="O7" s="38"/>
      <c r="P7" s="131">
        <v>46058</v>
      </c>
      <c r="Q7" s="132">
        <v>0.1</v>
      </c>
      <c r="R7" s="40">
        <v>2.92805836</v>
      </c>
      <c r="S7" s="133" cm="1">
        <f t="array" ref="S7">D7/Q7</f>
        <v>500.4</v>
      </c>
      <c r="T7" s="133" cm="1">
        <f t="array" ref="T7">S7-H7</f>
        <v>494.419</v>
      </c>
      <c r="U7" s="133" cm="1">
        <f t="array" ref="U7">R7/D7</f>
        <v>0.0585143557154277</v>
      </c>
      <c r="V7" s="132">
        <v>49.645</v>
      </c>
      <c r="W7" s="134">
        <v>51.83</v>
      </c>
    </row>
    <row r="8" ht="22.5" customHeight="1">
      <c r="A8" t="s" s="37">
        <v>114</v>
      </c>
      <c r="B8" t="str" s="135">
        <v>iShares Bitcoin Trust ETF</v>
      </c>
      <c r="C8" t="s" s="136">
        <v>90</v>
      </c>
      <c r="D8" s="137">
        <v>45.4</v>
      </c>
      <c r="E8" s="137">
        <v>37.16</v>
      </c>
      <c r="F8" s="137" cm="1">
        <f t="array" ref="F8">D8-E8</f>
        <v>8.24</v>
      </c>
      <c r="G8" s="138" cm="1">
        <f t="array" ref="G8">(D8-E8)/E8</f>
        <v>0.221743810548977</v>
      </c>
      <c r="H8" s="139">
        <v>26.911</v>
      </c>
      <c r="I8" s="140"/>
      <c r="J8" s="141">
        <v>4895.662467856</v>
      </c>
      <c r="K8" s="142">
        <v>5981.24531864</v>
      </c>
      <c r="L8" s="141" cm="1">
        <f t="array" ref="L8">_xlfn.IFERROR(K8-J8,"–")</f>
        <v>1085.582850784</v>
      </c>
      <c r="M8" s="84"/>
      <c r="N8" s="143"/>
      <c r="O8" s="135"/>
      <c r="P8" t="s" s="149">
        <v>116</v>
      </c>
      <c r="Q8" t="s" s="149">
        <v>116</v>
      </c>
      <c r="R8" t="s" s="150">
        <v>116</v>
      </c>
      <c r="S8" t="s" s="149">
        <v>116</v>
      </c>
      <c r="T8" t="s" s="149">
        <v>116</v>
      </c>
      <c r="U8" t="s" s="149">
        <v>116</v>
      </c>
      <c r="V8" s="145">
        <v>35.3</v>
      </c>
      <c r="W8" s="148">
        <v>71.81999999999999</v>
      </c>
    </row>
    <row r="9" ht="22.75" customHeight="1">
      <c r="A9" t="s" s="48">
        <v>117</v>
      </c>
      <c r="B9" t="str" s="108">
        <v>iShares Treasury Floating Rate </v>
      </c>
      <c r="C9" t="s" s="109">
        <v>119</v>
      </c>
      <c r="D9" s="151">
        <v>50.52</v>
      </c>
      <c r="E9" s="151">
        <v>50.63</v>
      </c>
      <c r="F9" s="151" cm="1">
        <f t="array" ref="F9">D9-E9</f>
        <v>-0.11</v>
      </c>
      <c r="G9" s="111" cm="1">
        <f t="array" ref="G9">(D9-E9)/E9</f>
        <v>-0.00217262492593324</v>
      </c>
      <c r="H9" s="112">
        <v>19.751</v>
      </c>
      <c r="I9" s="113"/>
      <c r="J9" s="114">
        <v>4895.566367228</v>
      </c>
      <c r="K9" s="152">
        <v>4884.930137712</v>
      </c>
      <c r="L9" s="114" cm="1">
        <f t="array" ref="L9">_xlfn.IFERROR(K9-J9,"–")</f>
        <v>-10.636229516</v>
      </c>
      <c r="M9" s="153"/>
      <c r="N9" s="115"/>
      <c r="O9" s="108"/>
      <c r="P9" s="116">
        <v>46058</v>
      </c>
      <c r="Q9" s="154">
        <v>0.15</v>
      </c>
      <c r="R9" s="110">
        <v>14.50394934</v>
      </c>
      <c r="S9" s="117" cm="1">
        <f t="array" ref="S9">D9/Q9</f>
        <v>336.8</v>
      </c>
      <c r="T9" s="117" cm="1">
        <f t="array" ref="T9">S9-H9</f>
        <v>317.049</v>
      </c>
      <c r="U9" s="117" cm="1">
        <f t="array" ref="U9">R9/D9</f>
        <v>0.287093217339667</v>
      </c>
      <c r="V9" s="154">
        <v>50.39</v>
      </c>
      <c r="W9" s="155">
        <v>50.67</v>
      </c>
    </row>
    <row r="10" ht="22.85" customHeight="1">
      <c r="A10" t="s" s="63">
        <v>46</v>
      </c>
      <c r="B10" s="64"/>
      <c r="C10" s="65"/>
      <c r="D10" s="64"/>
      <c r="E10" s="64"/>
      <c r="F10" s="64"/>
      <c r="G10" s="64"/>
      <c r="H10" s="66" cm="1">
        <f t="array" ref="H10">SUM(H3:H9)</f>
        <v>96.85299999999999</v>
      </c>
      <c r="I10" s="67"/>
      <c r="J10" s="68" cm="1">
        <f t="array" ref="J10">SUM(J3:J9)</f>
        <v>23498.70645098</v>
      </c>
      <c r="K10" s="156" cm="1">
        <f t="array" ref="K10">SUM(K3:K9)</f>
        <v>24349.40580612</v>
      </c>
      <c r="L10" s="68" cm="1">
        <f t="array" ref="L10">SUM(L3:L9)</f>
        <v>850.69935514</v>
      </c>
      <c r="M10" s="69" cm="1">
        <f t="array" ref="M10">SUM(M3:M9)</f>
        <v>-2.41599102537293e-14</v>
      </c>
      <c r="N10" s="70" cm="1">
        <f t="array" ref="N10">(K10-J10)/J10</f>
        <v>0.0362019652832644</v>
      </c>
      <c r="O10" s="120" cm="1">
        <f t="array" ref="O10">G3+G4+G5+G6+G7+G8+G9</f>
        <v>0.144261324112153</v>
      </c>
      <c r="P10" s="65"/>
      <c r="Q10" s="157" cm="1">
        <f t="array" ref="Q10">SUM(Q3:Q9)</f>
        <v>1.11</v>
      </c>
      <c r="R10" s="74" cm="1">
        <f t="array" ref="R10">SUM(R3:R9)</f>
        <v>58.957563932</v>
      </c>
      <c r="S10" s="158" cm="1">
        <f t="array" ref="S10">SUM(S3:S9)</f>
        <v>2004.904545454550</v>
      </c>
      <c r="T10" s="158" cm="1">
        <f t="array" ref="T10">SUM(T3:T9)</f>
        <v>1934.962545454550</v>
      </c>
      <c r="U10" s="158" cm="1">
        <f t="array" ref="U10">SUM(U3:U9)</f>
        <v>1.10087516038292</v>
      </c>
      <c r="V10" s="157" cm="1">
        <f t="array" ref="V10">SUM(V3:V9)</f>
        <v>381.315</v>
      </c>
      <c r="W10" s="159" cm="1">
        <f t="array" ref="W10">SUM(W3:W9)</f>
        <v>437.14</v>
      </c>
    </row>
  </sheetData>
  <conditionalFormatting sqref="C3:C9">
    <cfRule type="cellIs" dxfId="32" priority="1" operator="lessThan" stopIfTrue="1">
      <formula>35.87</formula>
    </cfRule>
    <cfRule type="cellIs" dxfId="33" priority="2" operator="lessThan" stopIfTrue="1">
      <formula>31.88</formula>
    </cfRule>
    <cfRule type="cellIs" dxfId="34" priority="3" operator="greaterThan" stopIfTrue="1">
      <formula>43.84</formula>
    </cfRule>
    <cfRule type="cellIs" dxfId="35" priority="4" operator="greaterThan" stopIfTrue="1">
      <formula>48.79</formula>
    </cfRule>
  </conditionalFormatting>
  <conditionalFormatting sqref="D3">
    <cfRule type="cellIs" dxfId="36" priority="1" operator="between" stopIfTrue="1">
      <formula>79.27</formula>
      <formula>70.47</formula>
    </cfRule>
    <cfRule type="cellIs" dxfId="37" priority="2" operator="lessThanOrEqual" stopIfTrue="1">
      <formula>70.46</formula>
    </cfRule>
    <cfRule type="cellIs" dxfId="38" priority="3" operator="between" stopIfTrue="1">
      <formula>96.88</formula>
      <formula>105.68</formula>
    </cfRule>
    <cfRule type="cellIs" dxfId="39" priority="4" operator="greaterThanOrEqual" stopIfTrue="1">
      <formula>105.69</formula>
    </cfRule>
  </conditionalFormatting>
  <conditionalFormatting sqref="D4">
    <cfRule type="cellIs" dxfId="40" priority="1" operator="between" stopIfTrue="1">
      <formula>66.83</formula>
      <formula>59.39</formula>
    </cfRule>
    <cfRule type="cellIs" dxfId="41" priority="2" operator="lessThanOrEqual" stopIfTrue="1">
      <formula>59.4</formula>
    </cfRule>
    <cfRule type="cellIs" dxfId="42" priority="3" operator="between" stopIfTrue="1">
      <formula>81.68</formula>
      <formula>89.1</formula>
    </cfRule>
    <cfRule type="cellIs" dxfId="43" priority="4" operator="greaterThan" stopIfTrue="1">
      <formula>89.11</formula>
    </cfRule>
  </conditionalFormatting>
  <conditionalFormatting sqref="D5">
    <cfRule type="cellIs" dxfId="44" priority="1" operator="between" stopIfTrue="1">
      <formula>42.23</formula>
      <formula>37.53</formula>
    </cfRule>
    <cfRule type="cellIs" dxfId="45" priority="2" operator="lessThanOrEqual" stopIfTrue="1">
      <formula>37.54</formula>
    </cfRule>
    <cfRule type="cellIs" dxfId="46" priority="3" operator="between" stopIfTrue="1">
      <formula>51.62</formula>
      <formula>56.3</formula>
    </cfRule>
    <cfRule type="cellIs" dxfId="47" priority="4" operator="greaterThanOrEqual" stopIfTrue="1">
      <formula>56.31</formula>
    </cfRule>
  </conditionalFormatting>
  <conditionalFormatting sqref="D6">
    <cfRule type="cellIs" dxfId="48" priority="1" operator="between" stopIfTrue="1">
      <formula>42.88</formula>
      <formula>38.11</formula>
    </cfRule>
    <cfRule type="cellIs" dxfId="49" priority="2" operator="lessThanOrEqual" stopIfTrue="1">
      <formula>38.12</formula>
    </cfRule>
    <cfRule type="cellIs" dxfId="50" priority="3" operator="between" stopIfTrue="1">
      <formula>52.41</formula>
      <formula>57.17</formula>
    </cfRule>
    <cfRule type="cellIs" dxfId="51" priority="4" operator="greaterThanOrEqual" stopIfTrue="1">
      <formula>57.18</formula>
    </cfRule>
  </conditionalFormatting>
  <conditionalFormatting sqref="D7">
    <cfRule type="cellIs" dxfId="52" priority="1" operator="between" stopIfTrue="1">
      <formula>45.14</formula>
      <formula>40.11</formula>
    </cfRule>
    <cfRule type="cellIs" dxfId="53" priority="2" operator="lessThanOrEqual" stopIfTrue="1">
      <formula>40.12</formula>
    </cfRule>
    <cfRule type="cellIs" dxfId="54" priority="3" operator="between" stopIfTrue="1">
      <formula>55.17</formula>
      <formula>60.18</formula>
    </cfRule>
    <cfRule type="cellIs" dxfId="55" priority="4" operator="greaterThanOrEqual" stopIfTrue="1">
      <formula>60.19</formula>
    </cfRule>
  </conditionalFormatting>
  <conditionalFormatting sqref="D8">
    <cfRule type="cellIs" dxfId="56" priority="1" operator="between" stopIfTrue="1">
      <formula>33.44</formula>
      <formula>29.73</formula>
    </cfRule>
    <cfRule type="cellIs" dxfId="57" priority="2" operator="lessThanOrEqual" stopIfTrue="1">
      <formula>29.72</formula>
    </cfRule>
    <cfRule type="cellIs" dxfId="58" priority="3" operator="between" stopIfTrue="1">
      <formula>40.87</formula>
      <formula>44.58</formula>
    </cfRule>
    <cfRule type="cellIs" dxfId="59" priority="4" operator="greaterThanOrEqual" stopIfTrue="1">
      <formula>44.59</formula>
    </cfRule>
  </conditionalFormatting>
  <conditionalFormatting sqref="D9">
    <cfRule type="cellIs" dxfId="60" priority="1" operator="between" stopIfTrue="1">
      <formula>45.56</formula>
      <formula>40.49</formula>
    </cfRule>
    <cfRule type="cellIs" dxfId="61" priority="2" operator="lessThanOrEqual" stopIfTrue="1">
      <formula>40.5</formula>
    </cfRule>
    <cfRule type="cellIs" dxfId="62" priority="3" operator="between" stopIfTrue="1">
      <formula>55.69</formula>
      <formula>60.74</formula>
    </cfRule>
    <cfRule type="cellIs" dxfId="63" priority="4" operator="greaterThanOrEqual" stopIfTrue="1">
      <formula>60.75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  <legacyDrawing r:id="rId2"/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2"/>
  <sheetViews>
    <sheetView workbookViewId="0" showGridLines="0" defaultGridColor="1"/>
  </sheetViews>
  <sheetFormatPr defaultColWidth="16.3333" defaultRowHeight="21.65" customHeight="1" outlineLevelRow="0" outlineLevelCol="0"/>
  <cols>
    <col min="1" max="1" width="16.3516" style="160" customWidth="1"/>
    <col min="2" max="16384" width="16.3516" style="160" customWidth="1"/>
  </cols>
  <sheetData>
    <row r="1" ht="30" customHeight="1">
      <c r="A1" t="s" s="17">
        <v>120</v>
      </c>
    </row>
    <row r="2" ht="22.75" customHeight="1">
      <c r="A2" s="161">
        <v>12</v>
      </c>
    </row>
  </sheetData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3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65" customHeight="1" outlineLevelRow="0" outlineLevelCol="0"/>
  <cols>
    <col min="1" max="1" width="17.6719" style="162" customWidth="1"/>
    <col min="2" max="11" width="16.3516" style="162" customWidth="1"/>
    <col min="12" max="16384" width="16.3516" style="162" customWidth="1"/>
  </cols>
  <sheetData>
    <row r="1" ht="30" customHeight="1">
      <c r="A1" t="s" s="17">
        <v>122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ht="22.85" customHeight="1">
      <c r="A2" t="s" s="92">
        <v>124</v>
      </c>
      <c r="B2" t="s" s="93">
        <v>125</v>
      </c>
      <c r="C2" s="78"/>
      <c r="D2" s="78"/>
      <c r="E2" s="78"/>
      <c r="F2" t="s" s="93">
        <v>126</v>
      </c>
      <c r="G2" s="163"/>
      <c r="H2" s="78"/>
      <c r="I2" s="78"/>
      <c r="J2" s="78"/>
      <c r="K2" s="79"/>
    </row>
    <row r="3" ht="22.75" customHeight="1">
      <c r="A3" t="s" s="164">
        <v>127</v>
      </c>
      <c r="B3" t="s" s="165">
        <v>128</v>
      </c>
      <c r="C3" t="s" s="165">
        <v>129</v>
      </c>
      <c r="D3" t="s" s="165">
        <v>130</v>
      </c>
      <c r="E3" t="s" s="165">
        <v>131</v>
      </c>
      <c r="F3" s="81"/>
      <c r="G3" t="s" s="166">
        <v>132</v>
      </c>
      <c r="H3" t="s" s="165">
        <v>133</v>
      </c>
      <c r="I3" t="s" s="165">
        <v>128</v>
      </c>
      <c r="J3" t="s" s="165">
        <v>134</v>
      </c>
      <c r="K3" t="s" s="167">
        <v>135</v>
      </c>
    </row>
    <row r="4" ht="22.5" customHeight="1">
      <c r="A4" t="s" s="101">
        <v>136</v>
      </c>
      <c r="B4" s="139">
        <v>100</v>
      </c>
      <c r="C4" s="146">
        <v>30.44</v>
      </c>
      <c r="D4" s="141" cm="1">
        <f t="array" ref="D4">C4*B4</f>
        <v>3044</v>
      </c>
      <c r="E4" s="84" cm="1">
        <f t="array" ref="E4">C4-#REF!</f>
      </c>
      <c r="F4" s="84"/>
      <c r="G4" s="168"/>
      <c r="H4" s="84"/>
      <c r="I4" s="84"/>
      <c r="J4" s="84"/>
      <c r="K4" s="169" cm="1">
        <f t="array" ref="K4">I4*J4</f>
        <v>0</v>
      </c>
    </row>
    <row r="5" ht="22.5" customHeight="1">
      <c r="A5" t="s" s="101">
        <v>137</v>
      </c>
      <c r="B5" s="42">
        <v>93</v>
      </c>
      <c r="C5" s="40">
        <v>26.9</v>
      </c>
      <c r="D5" s="44" cm="1">
        <f t="array" ref="D5">C5*B5</f>
        <v>2501.7</v>
      </c>
      <c r="E5" s="86" cm="1">
        <f t="array" ref="E5">C5-#REF!</f>
      </c>
      <c r="F5" s="86"/>
      <c r="G5" t="s" s="170">
        <v>137</v>
      </c>
      <c r="H5" s="171">
        <v>45664</v>
      </c>
      <c r="I5" s="42">
        <v>100</v>
      </c>
      <c r="J5" s="40">
        <v>24.14</v>
      </c>
      <c r="K5" s="172" cm="1">
        <f t="array" ref="K5">I5*J5</f>
        <v>2414</v>
      </c>
    </row>
    <row r="6" ht="22.5" customHeight="1">
      <c r="A6" t="s" s="101">
        <v>138</v>
      </c>
      <c r="B6" s="139">
        <v>32</v>
      </c>
      <c r="C6" s="146">
        <v>56.42</v>
      </c>
      <c r="D6" s="141" cm="1">
        <f t="array" ref="D6">C6*B6</f>
        <v>1805.44</v>
      </c>
      <c r="E6" s="84" cm="1">
        <f t="array" ref="E6">C6-#REF!</f>
      </c>
      <c r="F6" s="84"/>
      <c r="G6" s="168"/>
      <c r="H6" s="84"/>
      <c r="I6" s="84"/>
      <c r="J6" s="84"/>
      <c r="K6" s="169" cm="1">
        <f t="array" ref="K6">I6*J6</f>
        <v>0</v>
      </c>
    </row>
    <row r="7" ht="22.5" customHeight="1">
      <c r="A7" t="s" s="101">
        <v>139</v>
      </c>
      <c r="B7" s="42">
        <v>49</v>
      </c>
      <c r="C7" s="40">
        <v>17.16</v>
      </c>
      <c r="D7" s="44" cm="1">
        <f t="array" ref="D7">C7*B7</f>
        <v>840.84</v>
      </c>
      <c r="E7" s="86" cm="1">
        <f t="array" ref="E7">C7-#REF!</f>
      </c>
      <c r="F7" s="86"/>
      <c r="G7" s="173"/>
      <c r="H7" s="86"/>
      <c r="I7" s="86"/>
      <c r="J7" s="86"/>
      <c r="K7" s="172" cm="1">
        <f t="array" ref="K7">I7*J7</f>
        <v>0</v>
      </c>
    </row>
    <row r="8" ht="22.5" customHeight="1">
      <c r="A8" t="s" s="101">
        <v>140</v>
      </c>
      <c r="B8" s="139">
        <v>41</v>
      </c>
      <c r="C8" s="146">
        <v>12.83</v>
      </c>
      <c r="D8" s="141" cm="1">
        <f t="array" ref="D8">C8*B8</f>
        <v>526.03</v>
      </c>
      <c r="E8" s="84" cm="1">
        <f t="array" ref="E8">C8-#REF!</f>
      </c>
      <c r="F8" s="84"/>
      <c r="G8" s="168"/>
      <c r="H8" s="84"/>
      <c r="I8" s="84"/>
      <c r="J8" s="84"/>
      <c r="K8" s="169" cm="1">
        <f t="array" ref="K8">I8*J8</f>
        <v>0</v>
      </c>
    </row>
    <row r="9" ht="22.5" customHeight="1">
      <c r="A9" t="s" s="101">
        <v>141</v>
      </c>
      <c r="B9" s="42">
        <v>151</v>
      </c>
      <c r="C9" s="40">
        <v>12.94</v>
      </c>
      <c r="D9" s="44" cm="1">
        <f t="array" ref="D9">C9*B9</f>
        <v>1953.94</v>
      </c>
      <c r="E9" s="86" cm="1">
        <f t="array" ref="E9">C9-#REF!</f>
      </c>
      <c r="F9" s="86"/>
      <c r="G9" t="s" s="170">
        <v>142</v>
      </c>
      <c r="H9" s="171">
        <v>45601</v>
      </c>
      <c r="I9" s="42">
        <v>78</v>
      </c>
      <c r="J9" s="40">
        <v>12.72</v>
      </c>
      <c r="K9" s="172" cm="1">
        <f t="array" ref="K9">I9*J9</f>
        <v>992.16</v>
      </c>
    </row>
    <row r="10" ht="22.5" customHeight="1">
      <c r="A10" t="s" s="101">
        <v>53</v>
      </c>
      <c r="B10" s="139">
        <v>44</v>
      </c>
      <c r="C10" s="146">
        <v>100.07</v>
      </c>
      <c r="D10" s="141" cm="1">
        <f t="array" ref="D10">C10*B10</f>
        <v>4403.08</v>
      </c>
      <c r="E10" s="146" cm="1">
        <f t="array" ref="E10">C10-99.14</f>
        <v>0.93</v>
      </c>
      <c r="F10" s="84"/>
      <c r="G10" s="168"/>
      <c r="H10" s="84"/>
      <c r="I10" s="84"/>
      <c r="J10" s="146">
        <v>0</v>
      </c>
      <c r="K10" s="169" cm="1">
        <f t="array" ref="K10">I10*J10</f>
        <v>0</v>
      </c>
    </row>
    <row r="11" ht="22.5" customHeight="1">
      <c r="A11" t="s" s="101">
        <v>55</v>
      </c>
      <c r="B11" s="42">
        <v>13</v>
      </c>
      <c r="C11" s="40">
        <v>201.4</v>
      </c>
      <c r="D11" s="44" cm="1">
        <f t="array" ref="D11">C11*B11</f>
        <v>2618.2</v>
      </c>
      <c r="E11" s="40" cm="1">
        <f t="array" ref="E11">C11-193</f>
        <v>8.4</v>
      </c>
      <c r="F11" s="86"/>
      <c r="G11" s="173"/>
      <c r="H11" s="86"/>
      <c r="I11" s="86"/>
      <c r="J11" s="40">
        <v>0</v>
      </c>
      <c r="K11" s="172" cm="1">
        <f t="array" ref="K11">I11*J11</f>
        <v>0</v>
      </c>
    </row>
    <row r="12" ht="22.5" customHeight="1">
      <c r="A12" t="s" s="101">
        <v>57</v>
      </c>
      <c r="B12" s="139">
        <v>252</v>
      </c>
      <c r="C12" s="146">
        <v>9.710000000000001</v>
      </c>
      <c r="D12" s="141" cm="1">
        <f t="array" ref="D12">C12*B12</f>
        <v>2446.92</v>
      </c>
      <c r="E12" s="146" cm="1">
        <f t="array" ref="E12">C12-10.35</f>
        <v>-0.64</v>
      </c>
      <c r="F12" s="84"/>
      <c r="G12" s="168"/>
      <c r="H12" s="84"/>
      <c r="I12" s="84"/>
      <c r="J12" s="146">
        <v>0</v>
      </c>
      <c r="K12" s="169" cm="1">
        <f t="array" ref="K12">I12*J12</f>
        <v>0</v>
      </c>
    </row>
    <row r="13" ht="22.5" customHeight="1">
      <c r="A13" t="s" s="101">
        <v>58</v>
      </c>
      <c r="B13" s="42">
        <v>17</v>
      </c>
      <c r="C13" s="40">
        <v>105.09</v>
      </c>
      <c r="D13" s="44" cm="1">
        <f t="array" ref="D13">C13*B13</f>
        <v>1786.53</v>
      </c>
      <c r="E13" s="40" cm="1">
        <f t="array" ref="E13">C13-102</f>
        <v>3.09</v>
      </c>
      <c r="F13" s="86"/>
      <c r="G13" s="173"/>
      <c r="H13" s="86"/>
      <c r="I13" s="86"/>
      <c r="J13" s="40">
        <v>0</v>
      </c>
      <c r="K13" s="172" cm="1">
        <f t="array" ref="K13">I13*J13</f>
        <v>0</v>
      </c>
    </row>
    <row r="14" ht="22.5" customHeight="1">
      <c r="A14" t="s" s="101">
        <v>54</v>
      </c>
      <c r="B14" s="139">
        <v>15</v>
      </c>
      <c r="C14" s="146">
        <v>102.11</v>
      </c>
      <c r="D14" s="141" cm="1">
        <f t="array" ref="D14">C14*B14</f>
        <v>1531.65</v>
      </c>
      <c r="E14" s="146" cm="1">
        <f t="array" ref="E14">C14-108</f>
        <v>-5.89</v>
      </c>
      <c r="F14" s="84"/>
      <c r="G14" t="s" s="174">
        <v>54</v>
      </c>
      <c r="H14" s="175">
        <v>45639</v>
      </c>
      <c r="I14" s="139">
        <v>5</v>
      </c>
      <c r="J14" s="146">
        <v>91.72</v>
      </c>
      <c r="K14" s="169" cm="1">
        <f t="array" ref="K14">I14*J14</f>
        <v>458.6</v>
      </c>
    </row>
    <row r="15" ht="22.5" customHeight="1">
      <c r="A15" s="83"/>
      <c r="B15" s="86"/>
      <c r="C15" s="40"/>
      <c r="D15" s="44" cm="1">
        <f t="array" ref="D15">C15*B15</f>
        <v>0</v>
      </c>
      <c r="E15" s="40"/>
      <c r="F15" s="86"/>
      <c r="G15" t="s" s="170">
        <v>54</v>
      </c>
      <c r="H15" s="176">
        <v>45642</v>
      </c>
      <c r="I15" s="42">
        <v>10</v>
      </c>
      <c r="J15" s="40">
        <v>91.59999999999999</v>
      </c>
      <c r="K15" s="172" cm="1">
        <f t="array" ref="K15">I15*J15</f>
        <v>916</v>
      </c>
    </row>
    <row r="16" ht="22.5" customHeight="1">
      <c r="A16" s="83"/>
      <c r="B16" s="84"/>
      <c r="C16" s="146"/>
      <c r="D16" s="141" cm="1">
        <f t="array" ref="D16">C16*B16</f>
        <v>0</v>
      </c>
      <c r="E16" s="146"/>
      <c r="F16" s="84"/>
      <c r="G16" t="s" s="174">
        <v>143</v>
      </c>
      <c r="H16" s="175">
        <v>45615</v>
      </c>
      <c r="I16" s="139">
        <v>42</v>
      </c>
      <c r="J16" s="146">
        <v>19.12</v>
      </c>
      <c r="K16" s="169" cm="1">
        <f t="array" ref="K16">I16*J16</f>
        <v>803.04</v>
      </c>
    </row>
    <row r="17" ht="22.5" customHeight="1">
      <c r="A17" s="83"/>
      <c r="B17" s="86"/>
      <c r="C17" s="40"/>
      <c r="D17" s="44" cm="1">
        <f t="array" ref="D17">C17*B17</f>
        <v>0</v>
      </c>
      <c r="E17" s="40"/>
      <c r="F17" s="86"/>
      <c r="G17" t="s" s="170">
        <v>144</v>
      </c>
      <c r="H17" s="171">
        <v>45664</v>
      </c>
      <c r="I17" s="42">
        <v>200</v>
      </c>
      <c r="J17" s="40">
        <v>9.199999999999999</v>
      </c>
      <c r="K17" s="172" cm="1">
        <f t="array" ref="K17">I17*J17</f>
        <v>1840</v>
      </c>
    </row>
    <row r="18" ht="22.5" customHeight="1">
      <c r="A18" s="83"/>
      <c r="B18" s="84"/>
      <c r="C18" s="146"/>
      <c r="D18" s="141" cm="1">
        <f t="array" ref="D18">C18*B18</f>
        <v>0</v>
      </c>
      <c r="E18" s="146"/>
      <c r="F18" s="84"/>
      <c r="G18" t="s" s="177">
        <v>145</v>
      </c>
      <c r="H18" s="175">
        <v>45639</v>
      </c>
      <c r="I18" s="139">
        <v>10</v>
      </c>
      <c r="J18" s="146">
        <v>7.49</v>
      </c>
      <c r="K18" s="169" cm="1">
        <f t="array" ref="K18">I18*J18</f>
        <v>74.90000000000001</v>
      </c>
    </row>
    <row r="19" ht="22.5" customHeight="1">
      <c r="A19" s="83"/>
      <c r="B19" s="86"/>
      <c r="C19" s="40"/>
      <c r="D19" s="44" cm="1">
        <f t="array" ref="D19">C19*B19</f>
        <v>0</v>
      </c>
      <c r="E19" s="40"/>
      <c r="F19" s="86"/>
      <c r="G19" s="86"/>
      <c r="H19" s="171">
        <v>45663</v>
      </c>
      <c r="I19" s="42">
        <v>51</v>
      </c>
      <c r="J19" s="40">
        <v>7.72</v>
      </c>
      <c r="K19" s="172" cm="1">
        <f t="array" ref="K19">I19*J19</f>
        <v>393.72</v>
      </c>
    </row>
    <row r="20" ht="22.5" customHeight="1">
      <c r="A20" s="83"/>
      <c r="B20" s="84"/>
      <c r="C20" s="146"/>
      <c r="D20" s="141" cm="1">
        <f t="array" ref="D20">C20*B20</f>
        <v>0</v>
      </c>
      <c r="E20" s="146"/>
      <c r="F20" s="84"/>
      <c r="G20" s="84"/>
      <c r="H20" s="178">
        <v>45664</v>
      </c>
      <c r="I20" s="139">
        <v>100</v>
      </c>
      <c r="J20" s="146">
        <v>7.72</v>
      </c>
      <c r="K20" s="169" cm="1">
        <f t="array" ref="K20">I20*J20</f>
        <v>772</v>
      </c>
    </row>
    <row r="21" ht="22.5" customHeight="1">
      <c r="A21" s="83"/>
      <c r="B21" s="86"/>
      <c r="C21" s="40"/>
      <c r="D21" s="44" cm="1">
        <f t="array" ref="D21">C21*B21</f>
        <v>0</v>
      </c>
      <c r="E21" s="40"/>
      <c r="F21" s="86"/>
      <c r="G21" t="s" s="179">
        <v>67</v>
      </c>
      <c r="H21" s="171">
        <v>45663</v>
      </c>
      <c r="I21" s="42">
        <v>56</v>
      </c>
      <c r="J21" s="40">
        <v>6.82</v>
      </c>
      <c r="K21" s="172" cm="1">
        <f t="array" ref="K21">I21*J21</f>
        <v>381.92</v>
      </c>
    </row>
    <row r="22" ht="22.5" customHeight="1">
      <c r="A22" s="83"/>
      <c r="B22" s="84"/>
      <c r="C22" s="146"/>
      <c r="D22" s="141" cm="1">
        <f t="array" ref="D22">C22*B22</f>
        <v>0</v>
      </c>
      <c r="E22" s="146"/>
      <c r="F22" s="84"/>
      <c r="G22" s="84"/>
      <c r="H22" s="178">
        <v>45664</v>
      </c>
      <c r="I22" s="139">
        <v>200</v>
      </c>
      <c r="J22" s="146">
        <v>6.7</v>
      </c>
      <c r="K22" s="169" cm="1">
        <f t="array" ref="K22">I22*J22</f>
        <v>1340</v>
      </c>
    </row>
    <row r="23" ht="22.5" customHeight="1">
      <c r="A23" s="83"/>
      <c r="B23" s="86"/>
      <c r="C23" s="40"/>
      <c r="D23" s="44" cm="1">
        <f t="array" ref="D23">C23*B23</f>
        <v>0</v>
      </c>
      <c r="E23" s="40"/>
      <c r="F23" s="86"/>
      <c r="G23" t="s" s="170">
        <v>146</v>
      </c>
      <c r="H23" s="171">
        <v>45663</v>
      </c>
      <c r="I23" s="42">
        <v>435.69</v>
      </c>
      <c r="J23" s="40">
        <v>4.59</v>
      </c>
      <c r="K23" s="172" cm="1">
        <f t="array" ref="K23">I23*J23</f>
        <v>1999.8171</v>
      </c>
    </row>
    <row r="24" ht="22.5" customHeight="1">
      <c r="A24" s="83"/>
      <c r="B24" s="84"/>
      <c r="C24" s="146"/>
      <c r="D24" s="141" cm="1">
        <f t="array" ref="D24">C24*B24</f>
        <v>0</v>
      </c>
      <c r="E24" s="146"/>
      <c r="F24" s="84"/>
      <c r="G24" t="s" s="174">
        <v>147</v>
      </c>
      <c r="H24" s="178">
        <v>45663</v>
      </c>
      <c r="I24" s="139">
        <v>2.58</v>
      </c>
      <c r="J24" s="146">
        <v>15763.63</v>
      </c>
      <c r="K24" s="169" cm="1">
        <f t="array" ref="K24">J24/I24</f>
        <v>6109.934108527130</v>
      </c>
    </row>
    <row r="25" ht="22.5" customHeight="1">
      <c r="A25" s="83"/>
      <c r="B25" s="86"/>
      <c r="C25" s="40"/>
      <c r="D25" s="44" cm="1">
        <f t="array" ref="D25">C25*B25</f>
        <v>0</v>
      </c>
      <c r="E25" s="40"/>
      <c r="F25" s="86"/>
      <c r="G25" t="s" s="170">
        <v>148</v>
      </c>
      <c r="H25" s="171">
        <v>45664</v>
      </c>
      <c r="I25" s="42">
        <v>0.055422</v>
      </c>
      <c r="J25" s="40">
        <v>166</v>
      </c>
      <c r="K25" s="172">
        <v>166</v>
      </c>
    </row>
    <row r="26" ht="22.5" customHeight="1">
      <c r="A26" s="83"/>
      <c r="B26" s="84"/>
      <c r="C26" s="146"/>
      <c r="D26" s="141" cm="1">
        <f t="array" ref="D26">C26*B26</f>
        <v>0</v>
      </c>
      <c r="E26" s="146"/>
      <c r="F26" s="84"/>
      <c r="G26" t="s" s="174">
        <v>149</v>
      </c>
      <c r="H26" s="178">
        <v>45664</v>
      </c>
      <c r="I26" s="139">
        <v>3.242e-05</v>
      </c>
      <c r="J26" s="146">
        <v>166</v>
      </c>
      <c r="K26" s="169">
        <v>166</v>
      </c>
    </row>
    <row r="27" ht="22.5" customHeight="1">
      <c r="A27" s="83"/>
      <c r="B27" s="86"/>
      <c r="C27" s="40"/>
      <c r="D27" s="44" cm="1">
        <f t="array" ref="D27">C27*B27</f>
        <v>0</v>
      </c>
      <c r="E27" s="40"/>
      <c r="F27" s="86"/>
      <c r="G27" t="s" s="170">
        <v>150</v>
      </c>
      <c r="H27" s="171">
        <v>45664</v>
      </c>
      <c r="I27" s="42">
        <v>8.212000000000001e-05</v>
      </c>
      <c r="J27" s="40">
        <v>166</v>
      </c>
      <c r="K27" s="172">
        <v>166</v>
      </c>
    </row>
    <row r="28" ht="22.5" customHeight="1">
      <c r="A28" s="83"/>
      <c r="B28" s="84"/>
      <c r="C28" s="146"/>
      <c r="D28" s="141" cm="1">
        <f t="array" ref="D28">C28*B28</f>
        <v>0</v>
      </c>
      <c r="E28" s="146"/>
      <c r="F28" s="84"/>
      <c r="G28" t="s" s="174">
        <v>151</v>
      </c>
      <c r="H28" s="178">
        <v>45664</v>
      </c>
      <c r="I28" s="139">
        <v>7.1e-07</v>
      </c>
      <c r="J28" s="146">
        <v>100</v>
      </c>
      <c r="K28" s="169">
        <v>100</v>
      </c>
    </row>
    <row r="29" ht="22.5" customHeight="1">
      <c r="A29" s="83"/>
      <c r="B29" s="86"/>
      <c r="C29" s="40"/>
      <c r="D29" s="44" cm="1">
        <f t="array" ref="D29">C29*B29</f>
        <v>0</v>
      </c>
      <c r="E29" s="40"/>
      <c r="F29" s="86"/>
      <c r="G29" t="s" s="170">
        <v>152</v>
      </c>
      <c r="H29" s="171">
        <v>45664</v>
      </c>
      <c r="I29" s="42">
        <v>4.99170477</v>
      </c>
      <c r="J29" s="40">
        <v>166</v>
      </c>
      <c r="K29" s="172">
        <v>166</v>
      </c>
    </row>
    <row r="30" ht="22.5" customHeight="1">
      <c r="A30" s="83"/>
      <c r="B30" s="84"/>
      <c r="C30" s="146"/>
      <c r="D30" s="141" cm="1">
        <f t="array" ref="D30">C30*B30</f>
        <v>0</v>
      </c>
      <c r="E30" s="146"/>
      <c r="F30" s="84"/>
      <c r="G30" t="s" s="174">
        <v>153</v>
      </c>
      <c r="H30" s="178">
        <v>45664</v>
      </c>
      <c r="I30" s="139">
        <v>13.82366121</v>
      </c>
      <c r="J30" s="146">
        <v>166</v>
      </c>
      <c r="K30" s="169">
        <v>166</v>
      </c>
    </row>
    <row r="31" ht="22.5" customHeight="1">
      <c r="A31" s="83"/>
      <c r="B31" s="86"/>
      <c r="C31" s="40"/>
      <c r="D31" s="44" cm="1">
        <f t="array" ref="D31">C31*B31</f>
        <v>0</v>
      </c>
      <c r="E31" s="40"/>
      <c r="F31" s="86"/>
      <c r="G31" t="s" s="170">
        <v>154</v>
      </c>
      <c r="H31" s="171">
        <v>45664</v>
      </c>
      <c r="I31" s="42">
        <v>4416.579</v>
      </c>
      <c r="J31" s="40">
        <v>166</v>
      </c>
      <c r="K31" s="172">
        <v>166</v>
      </c>
    </row>
    <row r="32" ht="22.5" customHeight="1">
      <c r="A32" s="83"/>
      <c r="B32" s="84"/>
      <c r="C32" s="146"/>
      <c r="D32" s="141" cm="1">
        <f t="array" ref="D32">C32*B32</f>
        <v>0</v>
      </c>
      <c r="E32" s="146"/>
      <c r="F32" s="84"/>
      <c r="G32" t="s" s="174">
        <v>60</v>
      </c>
      <c r="H32" s="178">
        <v>45664</v>
      </c>
      <c r="I32" s="139">
        <v>70</v>
      </c>
      <c r="J32" s="146">
        <v>8.890000000000001</v>
      </c>
      <c r="K32" s="169" cm="1">
        <f t="array" ref="K32">I32*J32</f>
        <v>622.3</v>
      </c>
    </row>
    <row r="33" ht="22.6" customHeight="1">
      <c r="A33" t="s" s="180">
        <v>155</v>
      </c>
      <c r="B33" s="181" cm="1">
        <f t="array" ref="B33">SUM(D4:D14)</f>
        <v>23458.33</v>
      </c>
      <c r="C33" s="89"/>
      <c r="D33" s="89"/>
      <c r="E33" s="89"/>
      <c r="F33" s="89"/>
      <c r="G33" s="182"/>
      <c r="H33" s="89"/>
      <c r="I33" s="89"/>
      <c r="J33" s="89"/>
      <c r="K33" s="183" cm="1">
        <f t="array" ref="K33">SUM(K4:K32)</f>
        <v>20214.3912085271</v>
      </c>
    </row>
  </sheetData>
  <mergeCells count="5">
    <mergeCell ref="A1:K1"/>
    <mergeCell ref="B33:D33"/>
    <mergeCell ref="B2:D2"/>
    <mergeCell ref="G21:G22"/>
    <mergeCell ref="G18:G20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  <legacyDrawing r:id="rId2"/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65" customHeight="1" outlineLevelRow="0" outlineLevelCol="0"/>
  <cols>
    <col min="1" max="5" width="16.3516" style="184" customWidth="1"/>
    <col min="6" max="16384" width="16.3516" style="184" customWidth="1"/>
  </cols>
  <sheetData>
    <row r="1" ht="30" customHeight="1">
      <c r="A1" t="s" s="17">
        <v>47</v>
      </c>
      <c r="B1" s="17"/>
      <c r="C1" s="17"/>
      <c r="D1" s="17"/>
      <c r="E1" s="17"/>
    </row>
    <row r="2" ht="22.85" customHeight="1">
      <c r="A2" s="77"/>
      <c r="B2" s="78"/>
      <c r="C2" s="78"/>
      <c r="D2" s="78"/>
      <c r="E2" s="79"/>
    </row>
    <row r="3" ht="22.75" customHeight="1">
      <c r="A3" s="80"/>
      <c r="B3" s="81"/>
      <c r="C3" s="81"/>
      <c r="D3" s="81"/>
      <c r="E3" s="82"/>
    </row>
    <row r="4" ht="22.5" customHeight="1">
      <c r="A4" s="83"/>
      <c r="B4" s="84"/>
      <c r="C4" s="84"/>
      <c r="D4" s="84"/>
      <c r="E4" s="85"/>
    </row>
    <row r="5" ht="22.5" customHeight="1">
      <c r="A5" s="83"/>
      <c r="B5" s="86"/>
      <c r="C5" s="86"/>
      <c r="D5" s="86"/>
      <c r="E5" s="87"/>
    </row>
    <row r="6" ht="22.5" customHeight="1">
      <c r="A6" s="83"/>
      <c r="B6" s="84"/>
      <c r="C6" s="84"/>
      <c r="D6" s="84"/>
      <c r="E6" s="85"/>
    </row>
    <row r="7" ht="22.5" customHeight="1">
      <c r="A7" s="83"/>
      <c r="B7" s="86"/>
      <c r="C7" s="86"/>
      <c r="D7" s="86"/>
      <c r="E7" s="87"/>
    </row>
    <row r="8" ht="22.5" customHeight="1">
      <c r="A8" s="83"/>
      <c r="B8" s="84"/>
      <c r="C8" s="84"/>
      <c r="D8" s="84"/>
      <c r="E8" s="85"/>
    </row>
    <row r="9" ht="22.5" customHeight="1">
      <c r="A9" s="83"/>
      <c r="B9" s="86"/>
      <c r="C9" s="86"/>
      <c r="D9" s="86"/>
      <c r="E9" s="87"/>
    </row>
    <row r="10" ht="22.5" customHeight="1">
      <c r="A10" s="83"/>
      <c r="B10" s="84"/>
      <c r="C10" s="84"/>
      <c r="D10" s="84"/>
      <c r="E10" s="85"/>
    </row>
    <row r="11" ht="22.6" customHeight="1">
      <c r="A11" s="88"/>
      <c r="B11" s="89"/>
      <c r="C11" s="89"/>
      <c r="D11" s="89"/>
      <c r="E11" s="90"/>
    </row>
  </sheetData>
  <mergeCells count="1">
    <mergeCell ref="A1:E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65" customHeight="1" outlineLevelRow="0" outlineLevelCol="0"/>
  <cols>
    <col min="1" max="5" width="16.3516" style="185" customWidth="1"/>
    <col min="6" max="16384" width="16.3516" style="185" customWidth="1"/>
  </cols>
  <sheetData>
    <row r="1" ht="30" customHeight="1">
      <c r="A1" t="s" s="17">
        <v>49</v>
      </c>
      <c r="B1" s="17"/>
      <c r="C1" s="17"/>
      <c r="D1" s="17"/>
      <c r="E1" s="17"/>
    </row>
    <row r="2" ht="22.85" customHeight="1">
      <c r="A2" t="s" s="92">
        <v>51</v>
      </c>
      <c r="B2" s="78"/>
      <c r="C2" t="s" s="93">
        <v>52</v>
      </c>
      <c r="D2" s="78"/>
      <c r="E2" s="79"/>
    </row>
    <row r="3" ht="22.75" customHeight="1">
      <c r="A3" t="s" s="94">
        <v>53</v>
      </c>
      <c r="B3" s="81"/>
      <c r="C3" t="s" s="95">
        <v>54</v>
      </c>
      <c r="D3" s="81"/>
      <c r="E3" s="82"/>
    </row>
    <row r="4" ht="22.5" customHeight="1">
      <c r="A4" t="s" s="96">
        <v>55</v>
      </c>
      <c r="B4" s="84"/>
      <c r="C4" t="s" s="97">
        <v>56</v>
      </c>
      <c r="D4" s="84"/>
      <c r="E4" s="85"/>
    </row>
    <row r="5" ht="22.5" customHeight="1">
      <c r="A5" t="s" s="98">
        <v>57</v>
      </c>
      <c r="B5" s="86"/>
      <c r="C5" t="s" s="99">
        <v>58</v>
      </c>
      <c r="D5" s="86"/>
      <c r="E5" s="87"/>
    </row>
    <row r="6" ht="22.5" customHeight="1">
      <c r="A6" t="s" s="96">
        <v>58</v>
      </c>
      <c r="B6" s="84"/>
      <c r="C6" t="s" s="97">
        <v>59</v>
      </c>
      <c r="D6" s="84"/>
      <c r="E6" s="85"/>
    </row>
    <row r="7" ht="22.5" customHeight="1">
      <c r="A7" t="s" s="96">
        <v>54</v>
      </c>
      <c r="B7" s="86"/>
      <c r="C7" t="s" s="100">
        <v>60</v>
      </c>
      <c r="D7" s="86"/>
      <c r="E7" s="87"/>
    </row>
    <row r="8" ht="22.5" customHeight="1">
      <c r="A8" t="s" s="101">
        <v>56</v>
      </c>
      <c r="B8" s="84"/>
      <c r="C8" t="s" s="97">
        <v>61</v>
      </c>
      <c r="D8" s="84"/>
      <c r="E8" s="85"/>
    </row>
    <row r="9" ht="22.5" customHeight="1">
      <c r="A9" s="83"/>
      <c r="B9" s="86"/>
      <c r="C9" t="s" s="100">
        <v>62</v>
      </c>
      <c r="D9" s="86"/>
      <c r="E9" s="87"/>
    </row>
    <row r="10" ht="22.5" customHeight="1">
      <c r="A10" s="83"/>
      <c r="B10" s="84"/>
      <c r="C10" t="s" s="99">
        <v>63</v>
      </c>
      <c r="D10" s="84"/>
      <c r="E10" s="85"/>
    </row>
    <row r="11" ht="22.5" customHeight="1">
      <c r="A11" s="83"/>
      <c r="B11" s="86"/>
      <c r="C11" t="s" s="100">
        <v>64</v>
      </c>
      <c r="D11" s="86"/>
      <c r="E11" s="87"/>
    </row>
    <row r="12" ht="22.5" customHeight="1">
      <c r="A12" s="83"/>
      <c r="B12" s="84"/>
      <c r="C12" t="s" s="97">
        <v>65</v>
      </c>
      <c r="D12" s="84"/>
      <c r="E12" s="85"/>
    </row>
    <row r="13" ht="22.5" customHeight="1">
      <c r="A13" s="83"/>
      <c r="B13" s="86"/>
      <c r="C13" t="s" s="100">
        <v>66</v>
      </c>
      <c r="D13" s="86"/>
      <c r="E13" s="87"/>
    </row>
    <row r="14" ht="22.5" customHeight="1">
      <c r="A14" s="83"/>
      <c r="B14" s="84"/>
      <c r="C14" t="s" s="99">
        <v>67</v>
      </c>
      <c r="D14" s="84"/>
      <c r="E14" s="85"/>
    </row>
    <row r="15" ht="22.5" customHeight="1">
      <c r="A15" s="83"/>
      <c r="B15" s="86"/>
      <c r="C15" t="s" s="100">
        <v>68</v>
      </c>
      <c r="D15" s="86"/>
      <c r="E15" s="87"/>
    </row>
    <row r="16" ht="22.5" customHeight="1">
      <c r="A16" s="83"/>
      <c r="B16" s="84"/>
      <c r="C16" t="s" s="99">
        <v>69</v>
      </c>
      <c r="D16" s="84"/>
      <c r="E16" s="85"/>
    </row>
    <row r="17" ht="22.5" customHeight="1">
      <c r="A17" s="83"/>
      <c r="B17" s="86"/>
      <c r="C17" t="s" s="100">
        <v>70</v>
      </c>
      <c r="D17" s="86"/>
      <c r="E17" s="87"/>
    </row>
    <row r="18" ht="22.5" customHeight="1">
      <c r="A18" s="83"/>
      <c r="B18" s="84"/>
      <c r="C18" t="s" s="99">
        <v>71</v>
      </c>
      <c r="D18" s="84"/>
      <c r="E18" s="85"/>
    </row>
    <row r="19" ht="22.6" customHeight="1">
      <c r="A19" s="88"/>
      <c r="B19" s="89"/>
      <c r="C19" t="s" s="102">
        <v>72</v>
      </c>
      <c r="D19" s="89"/>
      <c r="E19" s="90"/>
    </row>
  </sheetData>
  <mergeCells count="1">
    <mergeCell ref="A1:E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style="186" customWidth="1"/>
  </cols>
  <sheetData/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3"/>
  <sheetViews>
    <sheetView workbookViewId="0" showGridLines="0" defaultGridColor="1"/>
  </sheetViews>
  <sheetFormatPr defaultColWidth="26.2615" defaultRowHeight="21.65" customHeight="1" outlineLevelRow="0" outlineLevelCol="0"/>
  <cols>
    <col min="1" max="1" width="26.2656" style="187" customWidth="1"/>
    <col min="2" max="2" width="28" style="187" customWidth="1"/>
    <col min="3" max="3" width="3.35156" style="187" customWidth="1"/>
    <col min="4" max="16384" width="26.2656" style="187" customWidth="1"/>
  </cols>
  <sheetData>
    <row r="1" ht="80" customHeight="1">
      <c r="A1" t="s" s="7">
        <v>7</v>
      </c>
      <c r="B1" s="125" cm="1">
        <f t="array" ref="B1">'Fundos Imobiliários - Meu Portf'!K$6</f>
        <v>29988.78</v>
      </c>
      <c r="C1" s="9"/>
    </row>
    <row r="2" ht="64" customHeight="1">
      <c r="A2" t="s" s="10">
        <v>8</v>
      </c>
      <c r="B2" s="11" cm="1">
        <f t="array" ref="B2">'Fundos Imobiliários - Meu Portf'!L6-'Fundos Imobiliários - Meu Portf'!M6</f>
        <v>2459.87</v>
      </c>
      <c r="C2" t="str" s="12" cm="1">
        <f t="array" ref="C2">IF(B2&gt;0,"↑",IF(B2&lt;0,"↓","–"))</f>
        <v>↑</v>
      </c>
    </row>
    <row r="3" ht="64" customHeight="1">
      <c r="A3" t="s" s="13">
        <v>10</v>
      </c>
      <c r="B3" s="14" cm="1">
        <f t="array" ref="B3">'Fundos Imobiliários - Meu Portf'!O$6</f>
        <v>0.191340711688638</v>
      </c>
      <c r="C3" t="str" s="15" cm="1">
        <f t="array" ref="C3">IF(B3="–","–",IF(B3&gt;0,"↑",IF(B3&lt;0,"↓","–")))</f>
        <v>↑</v>
      </c>
    </row>
  </sheetData>
  <mergeCells count="1">
    <mergeCell ref="B1:C1"/>
  </mergeCells>
  <conditionalFormatting sqref="B2:B3">
    <cfRule type="cellIs" dxfId="64" priority="1" operator="greaterThan" stopIfTrue="1">
      <formula>0</formula>
    </cfRule>
    <cfRule type="cellIs" dxfId="65" priority="2" operator="lessThan" stopIfTrue="1">
      <formula>0</formula>
    </cfRule>
  </conditionalFormatting>
  <conditionalFormatting sqref="C2:C3">
    <cfRule type="cellIs" dxfId="66" priority="1" operator="equal" stopIfTrue="1">
      <formula>"↑"</formula>
    </cfRule>
    <cfRule type="cellIs" dxfId="67" priority="2" operator="equal" stopIfTrue="1">
      <formula>"↓"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5"/>
  <sheetViews>
    <sheetView workbookViewId="0" showGridLines="0" defaultGridColor="1"/>
  </sheetViews>
  <sheetFormatPr defaultColWidth="16.3333" defaultRowHeight="21.65" customHeight="1" outlineLevelRow="0" outlineLevelCol="0"/>
  <cols>
    <col min="1" max="1" width="16.3516" style="188" customWidth="1"/>
    <col min="2" max="2" width="43.4297" style="188" customWidth="1"/>
    <col min="3" max="16384" width="16.3516" style="188" customWidth="1"/>
  </cols>
  <sheetData>
    <row r="1" ht="30" customHeight="1">
      <c r="A1" t="s" s="17">
        <v>11</v>
      </c>
      <c r="B1" s="17"/>
    </row>
    <row r="2" ht="22.6" customHeight="1">
      <c r="A2" s="18"/>
      <c r="B2" t="s" s="19">
        <v>13</v>
      </c>
    </row>
    <row r="3" ht="22.5" customHeight="1">
      <c r="A3" s="20"/>
      <c r="B3" t="s" s="21">
        <v>79</v>
      </c>
    </row>
    <row r="4" ht="22.5" customHeight="1">
      <c r="A4" s="22"/>
      <c r="B4" t="s" s="23">
        <v>15</v>
      </c>
    </row>
    <row r="5" ht="22.6" customHeight="1">
      <c r="A5" s="24"/>
      <c r="B5" t="s" s="25">
        <v>16</v>
      </c>
    </row>
  </sheetData>
  <mergeCells count="1">
    <mergeCell ref="A1:B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6"/>
  <sheetViews>
    <sheetView workbookViewId="0" showGridLines="0" defaultGridColor="1">
      <pane topLeftCell="B1" xSplit="1" ySplit="0" activePane="topRight" state="frozen"/>
    </sheetView>
  </sheetViews>
  <sheetFormatPr defaultColWidth="11.6667" defaultRowHeight="21.65" customHeight="1" outlineLevelRow="0" outlineLevelCol="0"/>
  <cols>
    <col min="1" max="1" width="10.2734" style="189" customWidth="1"/>
    <col min="2" max="2" width="26.3438" style="189" customWidth="1"/>
    <col min="3" max="3" width="28.4922" style="189" customWidth="1"/>
    <col min="4" max="4" width="10.6094" style="189" customWidth="1"/>
    <col min="5" max="5" width="11.8047" style="189" customWidth="1"/>
    <col min="6" max="6" width="12.1328" style="189" customWidth="1"/>
    <col min="7" max="7" width="11.1172" style="189" customWidth="1"/>
    <col min="8" max="8" width="8.75" style="189" customWidth="1"/>
    <col min="9" max="9" hidden="1" width="11.6667" style="189" customWidth="1"/>
    <col min="10" max="11" width="14.6016" style="189" customWidth="1"/>
    <col min="12" max="12" width="12.1328" style="189" customWidth="1"/>
    <col min="13" max="14" hidden="1" width="11.6667" style="189" customWidth="1"/>
    <col min="15" max="17" width="12.1328" style="189" customWidth="1"/>
    <col min="18" max="18" width="15.3047" style="189" customWidth="1"/>
    <col min="19" max="22" width="12.1328" style="189" customWidth="1"/>
    <col min="23" max="23" width="22.9531" style="189" customWidth="1"/>
    <col min="24" max="25" width="12.1328" style="189" customWidth="1"/>
    <col min="26" max="16384" width="11.6719" style="189" customWidth="1"/>
  </cols>
  <sheetData>
    <row r="1" ht="22.6" customHeight="1">
      <c r="A1" s="27"/>
      <c r="B1" s="28"/>
      <c r="C1" s="29"/>
      <c r="D1" s="28"/>
      <c r="E1" s="28"/>
      <c r="F1" s="28"/>
      <c r="G1" s="28"/>
      <c r="H1" s="28"/>
      <c r="I1" s="30"/>
      <c r="J1" s="28"/>
      <c r="K1" s="28"/>
      <c r="L1" s="28"/>
      <c r="M1" s="28"/>
      <c r="N1" s="28"/>
      <c r="O1" s="28"/>
      <c r="P1" s="29"/>
      <c r="Q1" s="28"/>
      <c r="R1" s="28"/>
      <c r="S1" s="28"/>
      <c r="T1" s="28"/>
      <c r="U1" s="28"/>
      <c r="V1" s="28"/>
      <c r="W1" s="28"/>
      <c r="X1" s="28"/>
      <c r="Y1" s="31"/>
    </row>
    <row r="2" ht="64.5" customHeight="1">
      <c r="A2" t="s" s="32">
        <v>19</v>
      </c>
      <c r="B2" t="s" s="33">
        <v>20</v>
      </c>
      <c r="C2" t="s" s="34">
        <v>82</v>
      </c>
      <c r="D2" t="s" s="33">
        <v>22</v>
      </c>
      <c r="E2" t="s" s="33">
        <v>23</v>
      </c>
      <c r="F2" t="s" s="34">
        <v>24</v>
      </c>
      <c r="G2" t="s" s="33">
        <v>10</v>
      </c>
      <c r="H2" t="s" s="33">
        <v>83</v>
      </c>
      <c r="I2" t="s" s="35">
        <v>26</v>
      </c>
      <c r="J2" t="s" s="33">
        <v>84</v>
      </c>
      <c r="K2" t="s" s="33">
        <v>7</v>
      </c>
      <c r="L2" t="s" s="33">
        <v>28</v>
      </c>
      <c r="M2" t="s" s="33">
        <v>29</v>
      </c>
      <c r="N2" t="s" s="33">
        <v>30</v>
      </c>
      <c r="O2" s="33"/>
      <c r="P2" t="s" s="34">
        <v>85</v>
      </c>
      <c r="Q2" t="s" s="34">
        <v>32</v>
      </c>
      <c r="R2" t="s" s="34">
        <v>33</v>
      </c>
      <c r="S2" t="s" s="34">
        <v>163</v>
      </c>
      <c r="T2" t="s" s="34">
        <v>164</v>
      </c>
      <c r="U2" t="s" s="34">
        <v>35</v>
      </c>
      <c r="V2" t="s" s="33">
        <v>36</v>
      </c>
      <c r="W2" t="s" s="34">
        <v>165</v>
      </c>
      <c r="X2" t="s" s="33">
        <v>38</v>
      </c>
      <c r="Y2" t="s" s="36">
        <v>39</v>
      </c>
    </row>
    <row r="3" ht="22.5" customHeight="1">
      <c r="A3" t="s" s="37">
        <v>166</v>
      </c>
      <c r="B3" t="str" s="38">
        <v>FII MAUA    CI</v>
      </c>
      <c r="C3" t="s" s="128">
        <v>168</v>
      </c>
      <c r="D3" s="40">
        <v>96.23999999999999</v>
      </c>
      <c r="E3" s="40">
        <v>92.15000000000001</v>
      </c>
      <c r="F3" s="40" cm="1">
        <f t="array" ref="F3">D3-E3</f>
        <v>4.09</v>
      </c>
      <c r="G3" s="190" cm="1">
        <f t="array" ref="G3">(D3-E3)/E3</f>
        <v>0.044384156266956</v>
      </c>
      <c r="H3" s="42">
        <v>169</v>
      </c>
      <c r="I3" s="43">
        <v>0.20426506</v>
      </c>
      <c r="J3" s="44">
        <v>15573.35</v>
      </c>
      <c r="K3" s="130">
        <v>16264.56</v>
      </c>
      <c r="L3" s="130" cm="1">
        <f t="array" ref="L3">_xlfn.IFERROR(K3-J3,"–")</f>
        <v>691.21</v>
      </c>
      <c r="M3" s="44">
        <v>0</v>
      </c>
      <c r="N3" s="45" cm="1">
        <f t="array" ref="N3">_xlfn.IFERROR((K3-J3)/J3,"–")</f>
        <v>0.044384156266956</v>
      </c>
      <c r="O3" s="38"/>
      <c r="P3" s="131">
        <v>46073</v>
      </c>
      <c r="Q3" s="46">
        <v>12</v>
      </c>
      <c r="R3" s="46">
        <v>1</v>
      </c>
      <c r="S3" s="40">
        <v>169</v>
      </c>
      <c r="T3" s="44" cm="1">
        <f t="array" ref="T3">S3*12</f>
        <v>2028</v>
      </c>
      <c r="U3" s="133" cm="1">
        <f t="array" ref="U3">D3/R3</f>
        <v>96.23999999999999</v>
      </c>
      <c r="V3" s="133" cm="1">
        <f t="array" ref="V3">U3-H3</f>
        <v>-72.76000000000001</v>
      </c>
      <c r="W3" s="133" cm="1">
        <f t="array" ref="W3">S3/D3</f>
        <v>1.75602660016625</v>
      </c>
      <c r="X3" s="46">
        <v>83.65000000000001</v>
      </c>
      <c r="Y3" s="47">
        <v>97.58</v>
      </c>
    </row>
    <row r="4" ht="22.5" customHeight="1">
      <c r="A4" t="s" s="37">
        <v>169</v>
      </c>
      <c r="B4" t="str" s="135">
        <v>FII PCIP PAXCI</v>
      </c>
      <c r="C4" t="s" s="136">
        <v>168</v>
      </c>
      <c r="D4" s="146">
        <v>86.14</v>
      </c>
      <c r="E4" s="146">
        <v>74.28</v>
      </c>
      <c r="F4" s="146" cm="1">
        <f t="array" ref="F4">D4-E4</f>
        <v>11.86</v>
      </c>
      <c r="G4" s="191" cm="1">
        <f t="array" ref="G4">(D4-E4)/E4</f>
        <v>0.159666128163705</v>
      </c>
      <c r="H4" s="139">
        <v>150</v>
      </c>
      <c r="I4" s="140"/>
      <c r="J4" s="141">
        <v>11142</v>
      </c>
      <c r="K4" s="142">
        <v>12921</v>
      </c>
      <c r="L4" s="142" cm="1">
        <f t="array" ref="L4">_xlfn.IFERROR(K4-J4,"–")</f>
        <v>1779</v>
      </c>
      <c r="M4" s="84"/>
      <c r="N4" s="143"/>
      <c r="O4" s="135"/>
      <c r="P4" s="144">
        <v>46071</v>
      </c>
      <c r="Q4" s="192">
        <v>10.2</v>
      </c>
      <c r="R4" s="192">
        <v>0.85</v>
      </c>
      <c r="S4" s="146">
        <v>127.5</v>
      </c>
      <c r="T4" s="141" cm="1">
        <f t="array" ref="T4">S4*12</f>
        <v>1530</v>
      </c>
      <c r="U4" s="147" cm="1">
        <f t="array" ref="U4">D4/R4</f>
        <v>101.341176470588</v>
      </c>
      <c r="V4" s="147" cm="1">
        <f t="array" ref="V4">U4-H4</f>
        <v>-48.658823529412</v>
      </c>
      <c r="W4" s="147" cm="1">
        <f t="array" ref="W4">S4/D4</f>
        <v>1.48014859530996</v>
      </c>
      <c r="X4" s="192">
        <v>77.54000000000001</v>
      </c>
      <c r="Y4" s="193">
        <v>89.84999999999999</v>
      </c>
    </row>
    <row r="5" ht="22.75" customHeight="1">
      <c r="A5" t="s" s="48">
        <v>171</v>
      </c>
      <c r="B5" t="str" s="108">
        <v>FII CAIXA CICI</v>
      </c>
      <c r="C5" t="s" s="109">
        <v>173</v>
      </c>
      <c r="D5" s="110">
        <v>73.02</v>
      </c>
      <c r="E5" s="110">
        <v>73.95999999999999</v>
      </c>
      <c r="F5" s="110" cm="1">
        <f t="array" ref="F5">D5-E5</f>
        <v>-0.9399999999999999</v>
      </c>
      <c r="G5" s="194" cm="1">
        <f t="array" ref="G5">(D5-E5)/E5</f>
        <v>-0.0127095727420227</v>
      </c>
      <c r="H5" s="112">
        <v>11</v>
      </c>
      <c r="I5" s="113"/>
      <c r="J5" s="114">
        <v>813.5599999999999</v>
      </c>
      <c r="K5" s="152">
        <v>803.22</v>
      </c>
      <c r="L5" s="114" cm="1">
        <f t="array" ref="L5">_xlfn.IFERROR(K5-J5,"–")</f>
        <v>-10.34</v>
      </c>
      <c r="M5" s="153"/>
      <c r="N5" s="115"/>
      <c r="O5" s="108"/>
      <c r="P5" s="116">
        <v>46066</v>
      </c>
      <c r="Q5" s="118">
        <v>9</v>
      </c>
      <c r="R5" s="118">
        <v>0.75</v>
      </c>
      <c r="S5" s="110">
        <v>8.25</v>
      </c>
      <c r="T5" s="114" cm="1">
        <f t="array" ref="T5">S5*12</f>
        <v>99</v>
      </c>
      <c r="U5" s="117" cm="1">
        <f t="array" ref="U5">D5/R5</f>
        <v>97.36</v>
      </c>
      <c r="V5" s="117" cm="1">
        <f t="array" ref="V5">U5-H5</f>
        <v>86.36</v>
      </c>
      <c r="W5" s="117" cm="1">
        <f t="array" ref="W5">S5/D5</f>
        <v>0.112982744453574</v>
      </c>
      <c r="X5" s="118">
        <v>63.5</v>
      </c>
      <c r="Y5" s="119">
        <v>77.01000000000001</v>
      </c>
    </row>
    <row r="6" ht="22.85" customHeight="1">
      <c r="A6" t="s" s="63">
        <v>46</v>
      </c>
      <c r="B6" s="64"/>
      <c r="C6" s="65"/>
      <c r="D6" s="64"/>
      <c r="E6" s="64"/>
      <c r="F6" s="64"/>
      <c r="G6" s="64"/>
      <c r="H6" s="66" cm="1">
        <f t="array" ref="H6">SUM(H3:H5)</f>
        <v>330</v>
      </c>
      <c r="I6" s="67"/>
      <c r="J6" s="68" cm="1">
        <f t="array" ref="J6">SUM(J3:J5)</f>
        <v>27528.91</v>
      </c>
      <c r="K6" s="156" cm="1">
        <f t="array" ref="K6">SUM(K3:K5)</f>
        <v>29988.78</v>
      </c>
      <c r="L6" s="68" cm="1">
        <f t="array" ref="L6">SUM(L3:L5)</f>
        <v>2459.87</v>
      </c>
      <c r="M6" s="69" cm="1">
        <f t="array" ref="M6">SUM(M3:M5)</f>
        <v>0</v>
      </c>
      <c r="N6" s="70" cm="1">
        <f t="array" ref="N6">(K6-J6)/J6</f>
        <v>0.0893558807813313</v>
      </c>
      <c r="O6" s="120" cm="1">
        <f t="array" ref="O6">SUM(G3:G5)</f>
        <v>0.191340711688638</v>
      </c>
      <c r="P6" s="65"/>
      <c r="Q6" s="74" cm="1">
        <f t="array" ref="Q6">SUM(Q3:Q5)</f>
        <v>31.2</v>
      </c>
      <c r="R6" s="74" cm="1">
        <f t="array" ref="R6">SUM(R3:R5)</f>
        <v>2.6</v>
      </c>
      <c r="S6" s="74" cm="1">
        <f t="array" ref="S6">SUM(S3:S5)</f>
        <v>304.75</v>
      </c>
      <c r="T6" s="68" cm="1">
        <f t="array" ref="T6">SUM(T3:T5)</f>
        <v>3657</v>
      </c>
      <c r="U6" s="66" cm="1">
        <f t="array" ref="U6">SUM(U3:U5)</f>
        <v>294.941176470588</v>
      </c>
      <c r="V6" s="66" cm="1">
        <f t="array" ref="V6">SUM(V3:V5)</f>
        <v>-35.058823529412</v>
      </c>
      <c r="W6" s="66" cm="1">
        <f t="array" ref="W6">SUM(W3:W5)</f>
        <v>3.34915793992978</v>
      </c>
      <c r="X6" s="74" cm="1">
        <f t="array" ref="X6">SUM(X3:X5)</f>
        <v>224.69</v>
      </c>
      <c r="Y6" s="75" cm="1">
        <f t="array" ref="Y6">SUM(Y3:Y5)</f>
        <v>264.44</v>
      </c>
    </row>
  </sheetData>
  <conditionalFormatting sqref="C3:C5">
    <cfRule type="cellIs" dxfId="68" priority="1" operator="lessThan" stopIfTrue="1">
      <formula>35.87</formula>
    </cfRule>
    <cfRule type="cellIs" dxfId="69" priority="2" operator="lessThan" stopIfTrue="1">
      <formula>31.88</formula>
    </cfRule>
    <cfRule type="cellIs" dxfId="70" priority="3" operator="greaterThan" stopIfTrue="1">
      <formula>43.84</formula>
    </cfRule>
    <cfRule type="cellIs" dxfId="71" priority="4" operator="greaterThan" stopIfTrue="1">
      <formula>48.79</formula>
    </cfRule>
  </conditionalFormatting>
  <conditionalFormatting sqref="D3">
    <cfRule type="cellIs" dxfId="72" priority="1" operator="between" stopIfTrue="1">
      <formula>82.93</formula>
      <formula>73.73</formula>
    </cfRule>
    <cfRule type="cellIs" dxfId="73" priority="2" operator="lessThanOrEqual" stopIfTrue="1">
      <formula>73.72</formula>
    </cfRule>
    <cfRule type="cellIs" dxfId="74" priority="3" operator="between" stopIfTrue="1">
      <formula>101.36</formula>
      <formula>110.57</formula>
    </cfRule>
    <cfRule type="cellIs" dxfId="75" priority="4" operator="greaterThanOrEqual" stopIfTrue="1">
      <formula>110.58</formula>
    </cfRule>
  </conditionalFormatting>
  <conditionalFormatting sqref="D4">
    <cfRule type="cellIs" dxfId="76" priority="1" operator="between" stopIfTrue="1">
      <formula>66.85</formula>
      <formula>59.43</formula>
    </cfRule>
    <cfRule type="cellIs" dxfId="77" priority="2" operator="lessThanOrEqual" stopIfTrue="1">
      <formula>59.42</formula>
    </cfRule>
    <cfRule type="cellIs" dxfId="78" priority="3" operator="between" stopIfTrue="1">
      <formula>81.7</formula>
      <formula>89.12</formula>
    </cfRule>
    <cfRule type="cellIs" dxfId="79" priority="4" operator="greaterThanOrEqual" stopIfTrue="1">
      <formula>89.13</formula>
    </cfRule>
  </conditionalFormatting>
  <conditionalFormatting sqref="D5">
    <cfRule type="cellIs" dxfId="80" priority="1" operator="between" stopIfTrue="1">
      <formula>66.56</formula>
      <formula>59.17</formula>
    </cfRule>
    <cfRule type="cellIs" dxfId="81" priority="2" operator="lessThanOrEqual" stopIfTrue="1">
      <formula>59.16</formula>
    </cfRule>
    <cfRule type="cellIs" dxfId="82" priority="3" operator="between" stopIfTrue="1">
      <formula>81.35</formula>
      <formula>88.74</formula>
    </cfRule>
    <cfRule type="cellIs" dxfId="83" priority="4" operator="greaterThanOrEqual" stopIfTrue="1">
      <formula>88.75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  <legacyDrawing r:id="rId2"/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1"/>
  </sheetPr>
  <dimension ref="A2"/>
  <sheetViews>
    <sheetView workbookViewId="0" showGridLines="0" defaultGridColor="1"/>
  </sheetViews>
  <sheetFormatPr defaultColWidth="16.3333" defaultRowHeight="21.65" customHeight="1" outlineLevelRow="0" outlineLevelCol="0"/>
  <cols>
    <col min="1" max="1" width="16.3516" style="195" customWidth="1"/>
    <col min="2" max="16384" width="16.3516" style="195" customWidth="1"/>
  </cols>
  <sheetData>
    <row r="1" ht="30" customHeight="1">
      <c r="A1" t="s" s="17">
        <v>120</v>
      </c>
    </row>
    <row r="2" ht="22.75" customHeight="1">
      <c r="A2" s="161">
        <v>12</v>
      </c>
    </row>
  </sheetData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65" customHeight="1" outlineLevelRow="0" outlineLevelCol="0"/>
  <cols>
    <col min="1" max="5" width="16.3516" style="196" customWidth="1"/>
    <col min="6" max="16384" width="16.3516" style="196" customWidth="1"/>
  </cols>
  <sheetData>
    <row r="1" ht="30" customHeight="1">
      <c r="A1" t="s" s="17">
        <v>47</v>
      </c>
      <c r="B1" s="17"/>
      <c r="C1" s="17"/>
      <c r="D1" s="17"/>
      <c r="E1" s="17"/>
    </row>
    <row r="2" ht="22.85" customHeight="1">
      <c r="A2" s="77"/>
      <c r="B2" s="78"/>
      <c r="C2" s="78"/>
      <c r="D2" s="78"/>
      <c r="E2" s="79"/>
    </row>
    <row r="3" ht="22.75" customHeight="1">
      <c r="A3" s="80"/>
      <c r="B3" s="81"/>
      <c r="C3" s="81"/>
      <c r="D3" s="81"/>
      <c r="E3" s="82"/>
    </row>
    <row r="4" ht="22.5" customHeight="1">
      <c r="A4" s="83"/>
      <c r="B4" s="84"/>
      <c r="C4" s="84"/>
      <c r="D4" s="84"/>
      <c r="E4" s="85"/>
    </row>
    <row r="5" ht="22.5" customHeight="1">
      <c r="A5" s="83"/>
      <c r="B5" s="86"/>
      <c r="C5" s="86"/>
      <c r="D5" s="86"/>
      <c r="E5" s="87"/>
    </row>
    <row r="6" ht="22.5" customHeight="1">
      <c r="A6" s="83"/>
      <c r="B6" s="84"/>
      <c r="C6" s="84"/>
      <c r="D6" s="84"/>
      <c r="E6" s="85"/>
    </row>
    <row r="7" ht="22.5" customHeight="1">
      <c r="A7" s="83"/>
      <c r="B7" s="86"/>
      <c r="C7" s="86"/>
      <c r="D7" s="86"/>
      <c r="E7" s="87"/>
    </row>
    <row r="8" ht="22.5" customHeight="1">
      <c r="A8" s="83"/>
      <c r="B8" s="84"/>
      <c r="C8" s="84"/>
      <c r="D8" s="84"/>
      <c r="E8" s="85"/>
    </row>
    <row r="9" ht="22.5" customHeight="1">
      <c r="A9" s="83"/>
      <c r="B9" s="86"/>
      <c r="C9" s="86"/>
      <c r="D9" s="86"/>
      <c r="E9" s="87"/>
    </row>
    <row r="10" ht="22.5" customHeight="1">
      <c r="A10" s="83"/>
      <c r="B10" s="84"/>
      <c r="C10" s="84"/>
      <c r="D10" s="84"/>
      <c r="E10" s="85"/>
    </row>
    <row r="11" ht="22.6" customHeight="1">
      <c r="A11" s="88"/>
      <c r="B11" s="89"/>
      <c r="C11" s="89"/>
      <c r="D11" s="89"/>
      <c r="E11" s="90"/>
    </row>
  </sheetData>
  <mergeCells count="1">
    <mergeCell ref="A1:E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style="197" customWidth="1"/>
  </cols>
  <sheetData/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</worksheet>
</file>

<file path=xl/worksheets/sheet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3"/>
  <sheetViews>
    <sheetView workbookViewId="0" showGridLines="0" defaultGridColor="1"/>
  </sheetViews>
  <sheetFormatPr defaultColWidth="26.2615" defaultRowHeight="21.65" customHeight="1" outlineLevelRow="0" outlineLevelCol="0"/>
  <cols>
    <col min="1" max="1" width="26.2656" style="198" customWidth="1"/>
    <col min="2" max="2" width="28" style="198" customWidth="1"/>
    <col min="3" max="3" width="3.35156" style="198" customWidth="1"/>
    <col min="4" max="16384" width="26.2656" style="198" customWidth="1"/>
  </cols>
  <sheetData>
    <row r="1" ht="80" customHeight="1">
      <c r="A1" t="s" s="7">
        <v>7</v>
      </c>
      <c r="B1" s="125" cm="1">
        <f t="array" ref="B1">'Reit''s - Meu Portfólio'!K$6</f>
        <v>7902.282528252</v>
      </c>
      <c r="C1" s="9"/>
    </row>
    <row r="2" ht="64" customHeight="1">
      <c r="A2" t="s" s="10">
        <v>8</v>
      </c>
      <c r="B2" s="11" cm="1">
        <f t="array" ref="B2">'Reit''s - Meu Portfólio'!L6-'Reit''s - Meu Portfólio'!M6</f>
        <v>558.857756516</v>
      </c>
      <c r="C2" t="str" s="12" cm="1">
        <f t="array" ref="C2">IF(B2&gt;0,"↑",IF(B2&lt;0,"↓","–"))</f>
        <v>↑</v>
      </c>
    </row>
    <row r="3" ht="64" customHeight="1">
      <c r="A3" t="s" s="13">
        <v>10</v>
      </c>
      <c r="B3" s="14" cm="1">
        <f t="array" ref="B3">'Reit''s - Meu Portfólio'!O$6</f>
        <v>0.228305215946436</v>
      </c>
      <c r="C3" t="str" s="15" cm="1">
        <f t="array" ref="C3">IF(B3="–","–",IF(B3&gt;0,"↑",IF(B3&lt;0,"↓","–")))</f>
        <v>↑</v>
      </c>
    </row>
  </sheetData>
  <mergeCells count="1">
    <mergeCell ref="B1:C1"/>
  </mergeCells>
  <conditionalFormatting sqref="B2:B3">
    <cfRule type="cellIs" dxfId="84" priority="1" operator="greaterThan" stopIfTrue="1">
      <formula>0</formula>
    </cfRule>
    <cfRule type="cellIs" dxfId="85" priority="2" operator="lessThan" stopIfTrue="1">
      <formula>0</formula>
    </cfRule>
  </conditionalFormatting>
  <conditionalFormatting sqref="C2:C3">
    <cfRule type="cellIs" dxfId="86" priority="1" operator="equal" stopIfTrue="1">
      <formula>"↑"</formula>
    </cfRule>
    <cfRule type="cellIs" dxfId="87" priority="2" operator="equal" stopIfTrue="1">
      <formula>"↓"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5"/>
  <sheetViews>
    <sheetView workbookViewId="0" showGridLines="0" defaultGridColor="1"/>
  </sheetViews>
  <sheetFormatPr defaultColWidth="16.3333" defaultRowHeight="21.65" customHeight="1" outlineLevelRow="0" outlineLevelCol="0"/>
  <cols>
    <col min="1" max="1" width="16.3516" style="199" customWidth="1"/>
    <col min="2" max="2" width="43.4297" style="199" customWidth="1"/>
    <col min="3" max="16384" width="16.3516" style="199" customWidth="1"/>
  </cols>
  <sheetData>
    <row r="1" ht="30" customHeight="1">
      <c r="A1" t="s" s="17">
        <v>11</v>
      </c>
      <c r="B1" s="17"/>
    </row>
    <row r="2" ht="22.6" customHeight="1">
      <c r="A2" s="18"/>
      <c r="B2" t="s" s="19">
        <v>13</v>
      </c>
    </row>
    <row r="3" ht="22.5" customHeight="1">
      <c r="A3" s="20"/>
      <c r="B3" t="s" s="21">
        <v>79</v>
      </c>
    </row>
    <row r="4" ht="22.5" customHeight="1">
      <c r="A4" s="22"/>
      <c r="B4" t="s" s="23">
        <v>15</v>
      </c>
    </row>
    <row r="5" ht="22.6" customHeight="1">
      <c r="A5" s="24"/>
      <c r="B5" t="s" s="25">
        <v>16</v>
      </c>
    </row>
  </sheetData>
  <mergeCells count="1">
    <mergeCell ref="A1:B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6"/>
  <sheetViews>
    <sheetView workbookViewId="0" showGridLines="0" defaultGridColor="1">
      <pane topLeftCell="B1" xSplit="1" ySplit="0" activePane="topRight" state="frozen"/>
    </sheetView>
  </sheetViews>
  <sheetFormatPr defaultColWidth="11.6667" defaultRowHeight="21.65" customHeight="1" outlineLevelRow="0" outlineLevelCol="0"/>
  <cols>
    <col min="1" max="1" width="10.2734" style="200" customWidth="1"/>
    <col min="2" max="2" width="26.3438" style="200" customWidth="1"/>
    <col min="3" max="3" width="28.4922" style="200" customWidth="1"/>
    <col min="4" max="4" width="10.6094" style="200" customWidth="1"/>
    <col min="5" max="5" width="11.8047" style="200" customWidth="1"/>
    <col min="6" max="6" width="12.1328" style="200" customWidth="1"/>
    <col min="7" max="7" width="11.1172" style="200" customWidth="1"/>
    <col min="8" max="8" width="8.75" style="200" customWidth="1"/>
    <col min="9" max="9" hidden="1" width="11.6667" style="200" customWidth="1"/>
    <col min="10" max="11" width="14.6016" style="200" customWidth="1"/>
    <col min="12" max="12" width="12.1328" style="200" customWidth="1"/>
    <col min="13" max="14" hidden="1" width="11.6667" style="200" customWidth="1"/>
    <col min="15" max="17" width="12.1328" style="200" customWidth="1"/>
    <col min="18" max="18" width="16.0625" style="200" customWidth="1"/>
    <col min="19" max="22" width="12.1328" style="200" customWidth="1"/>
    <col min="23" max="23" width="17.8906" style="200" customWidth="1"/>
    <col min="24" max="25" width="12.1328" style="200" customWidth="1"/>
    <col min="26" max="16384" width="11.6719" style="200" customWidth="1"/>
  </cols>
  <sheetData>
    <row r="1" ht="22.6" customHeight="1">
      <c r="A1" s="27"/>
      <c r="B1" s="28"/>
      <c r="C1" s="29"/>
      <c r="D1" s="28"/>
      <c r="E1" s="28"/>
      <c r="F1" s="28"/>
      <c r="G1" s="28"/>
      <c r="H1" s="28"/>
      <c r="I1" s="30"/>
      <c r="J1" s="28"/>
      <c r="K1" s="28"/>
      <c r="L1" s="28"/>
      <c r="M1" s="28"/>
      <c r="N1" s="28"/>
      <c r="O1" s="28"/>
      <c r="P1" s="29"/>
      <c r="Q1" s="28"/>
      <c r="R1" s="28"/>
      <c r="S1" s="28"/>
      <c r="T1" s="28"/>
      <c r="U1" s="28"/>
      <c r="V1" s="28"/>
      <c r="W1" s="28"/>
      <c r="X1" s="28"/>
      <c r="Y1" s="31"/>
    </row>
    <row r="2" ht="64.5" customHeight="1">
      <c r="A2" t="s" s="32">
        <v>19</v>
      </c>
      <c r="B2" t="s" s="33">
        <v>20</v>
      </c>
      <c r="C2" t="s" s="34">
        <v>82</v>
      </c>
      <c r="D2" t="s" s="33">
        <v>22</v>
      </c>
      <c r="E2" t="s" s="33">
        <v>23</v>
      </c>
      <c r="F2" t="s" s="34">
        <v>24</v>
      </c>
      <c r="G2" t="s" s="33">
        <v>10</v>
      </c>
      <c r="H2" t="s" s="33">
        <v>83</v>
      </c>
      <c r="I2" t="s" s="35">
        <v>26</v>
      </c>
      <c r="J2" t="s" s="33">
        <v>84</v>
      </c>
      <c r="K2" t="s" s="33">
        <v>7</v>
      </c>
      <c r="L2" t="s" s="33">
        <v>28</v>
      </c>
      <c r="M2" t="s" s="33">
        <v>29</v>
      </c>
      <c r="N2" t="s" s="33">
        <v>30</v>
      </c>
      <c r="O2" s="33"/>
      <c r="P2" t="s" s="34">
        <v>85</v>
      </c>
      <c r="Q2" t="s" s="34">
        <v>32</v>
      </c>
      <c r="R2" t="s" s="34">
        <v>33</v>
      </c>
      <c r="S2" t="s" s="34">
        <v>181</v>
      </c>
      <c r="T2" t="s" s="34">
        <v>164</v>
      </c>
      <c r="U2" t="s" s="33">
        <v>35</v>
      </c>
      <c r="V2" t="s" s="33">
        <v>36</v>
      </c>
      <c r="W2" t="s" s="34">
        <v>37</v>
      </c>
      <c r="X2" t="s" s="33">
        <v>38</v>
      </c>
      <c r="Y2" t="s" s="36">
        <v>39</v>
      </c>
    </row>
    <row r="3" ht="22.5" customHeight="1">
      <c r="A3" t="s" s="37">
        <v>182</v>
      </c>
      <c r="B3" t="str" s="38">
        <v>Public Storage</v>
      </c>
      <c r="C3" t="s" s="128">
        <v>184</v>
      </c>
      <c r="D3" s="129">
        <v>309.33</v>
      </c>
      <c r="E3" s="129">
        <v>262.2</v>
      </c>
      <c r="F3" s="129" cm="1">
        <f t="array" ref="F3">D3-E3</f>
        <v>47.13</v>
      </c>
      <c r="G3" s="190" cm="1">
        <f t="array" ref="G3">(D3-E3)/E3</f>
        <v>0.17974828375286</v>
      </c>
      <c r="H3" s="42">
        <v>1.907</v>
      </c>
      <c r="I3" s="43">
        <v>0.20426506</v>
      </c>
      <c r="J3" s="44">
        <v>2447.87539224</v>
      </c>
      <c r="K3" s="130">
        <v>2887.876792836</v>
      </c>
      <c r="L3" s="130" cm="1">
        <f t="array" ref="L3">_xlfn.IFERROR(K3-J3,"–")</f>
        <v>440.001400596</v>
      </c>
      <c r="M3" s="44">
        <v>-2.41591970961963e-14</v>
      </c>
      <c r="N3" s="45" cm="1">
        <f t="array" ref="N3">_xlfn.IFERROR((K3-J3)/J3,"–")</f>
        <v>0.17974828375286</v>
      </c>
      <c r="O3" s="38"/>
      <c r="P3" s="131">
        <v>46112</v>
      </c>
      <c r="Q3" s="132">
        <v>12</v>
      </c>
      <c r="R3" s="132">
        <v>3</v>
      </c>
      <c r="S3" s="40">
        <v>28.0077276</v>
      </c>
      <c r="T3" s="40" cm="1">
        <f t="array" ref="T3">S3*4</f>
        <v>112.0309104</v>
      </c>
      <c r="U3" s="133" cm="1">
        <f t="array" ref="U3">D3/R3</f>
        <v>103.11</v>
      </c>
      <c r="V3" s="133" cm="1">
        <f t="array" ref="V3">U3-H3</f>
        <v>101.203</v>
      </c>
      <c r="W3" s="133" cm="1">
        <f t="array" ref="W3">S3/D3</f>
        <v>0.09054319852584621</v>
      </c>
      <c r="X3" s="132">
        <v>256.54</v>
      </c>
      <c r="Y3" s="134">
        <v>313.51</v>
      </c>
    </row>
    <row r="4" ht="22.5" customHeight="1">
      <c r="A4" t="s" s="37">
        <v>185</v>
      </c>
      <c r="B4" t="str" s="135">
        <v>VICI Properties Inc.</v>
      </c>
      <c r="C4" t="s" s="136">
        <v>187</v>
      </c>
      <c r="D4" s="137">
        <v>28.79</v>
      </c>
      <c r="E4" s="137">
        <v>28.05</v>
      </c>
      <c r="F4" s="137" cm="1">
        <f t="array" ref="F4">D4-E4</f>
        <v>0.74</v>
      </c>
      <c r="G4" s="191" cm="1">
        <f t="array" ref="G4">(D4-E4)/E4</f>
        <v>0.0263814616755793</v>
      </c>
      <c r="H4" s="139">
        <v>17.825</v>
      </c>
      <c r="I4" s="140"/>
      <c r="J4" s="141">
        <v>2447.7571635</v>
      </c>
      <c r="K4" s="142">
        <v>2512.3325753</v>
      </c>
      <c r="L4" s="142" cm="1">
        <f t="array" ref="L4">_xlfn.IFERROR(K4-J4,"–")</f>
        <v>64.5754118</v>
      </c>
      <c r="M4" s="84"/>
      <c r="N4" s="143"/>
      <c r="O4" s="135"/>
      <c r="P4" s="144">
        <v>46030</v>
      </c>
      <c r="Q4" s="145">
        <v>1.78</v>
      </c>
      <c r="R4" s="145">
        <v>0.445</v>
      </c>
      <c r="S4" s="146">
        <v>38.83251115</v>
      </c>
      <c r="T4" s="146" cm="1">
        <f t="array" ref="T4">S4*4</f>
        <v>155.3300446</v>
      </c>
      <c r="U4" s="147" cm="1">
        <f t="array" ref="U4">D4/R4</f>
        <v>64.69662921348311</v>
      </c>
      <c r="V4" s="147" cm="1">
        <f t="array" ref="V4">U4-H4</f>
        <v>46.8716292134831</v>
      </c>
      <c r="W4" s="147" cm="1">
        <f t="array" ref="W4">S4/D4</f>
        <v>1.34881942167419</v>
      </c>
      <c r="X4" s="145">
        <v>26.55</v>
      </c>
      <c r="Y4" s="148">
        <v>34.01</v>
      </c>
    </row>
    <row r="5" ht="36.75" customHeight="1">
      <c r="A5" t="s" s="48">
        <v>188</v>
      </c>
      <c r="B5" t="str" s="108">
        <v>American Tower Corporation (REI</v>
      </c>
      <c r="C5" t="s" s="109">
        <v>190</v>
      </c>
      <c r="D5" s="151">
        <v>179.77</v>
      </c>
      <c r="E5" s="151">
        <v>175.87</v>
      </c>
      <c r="F5" s="151" cm="1">
        <f t="array" ref="F5">D5-E5</f>
        <v>3.9</v>
      </c>
      <c r="G5" s="194" cm="1">
        <f t="array" ref="G5">(D5-E5)/E5</f>
        <v>0.0221754705179962</v>
      </c>
      <c r="H5" s="112">
        <v>2.843</v>
      </c>
      <c r="I5" s="113"/>
      <c r="J5" s="114">
        <v>2447.792215996</v>
      </c>
      <c r="K5" s="152">
        <v>2502.073160116</v>
      </c>
      <c r="L5" s="114" cm="1">
        <f t="array" ref="L5">_xlfn.IFERROR(K5-J5,"–")</f>
        <v>54.28094412</v>
      </c>
      <c r="M5" s="153"/>
      <c r="N5" s="115"/>
      <c r="O5" s="108"/>
      <c r="P5" s="116">
        <v>46055</v>
      </c>
      <c r="Q5" s="154">
        <v>6.89</v>
      </c>
      <c r="R5" s="154">
        <v>1.7225</v>
      </c>
      <c r="S5" s="110">
        <v>23.974083653</v>
      </c>
      <c r="T5" s="110" cm="1">
        <f t="array" ref="T5">S5*4</f>
        <v>95.896334612</v>
      </c>
      <c r="U5" s="117" cm="1">
        <f t="array" ref="U5">D5/R5</f>
        <v>104.365747460087</v>
      </c>
      <c r="V5" s="117" cm="1">
        <f t="array" ref="V5">U5-H5</f>
        <v>101.522747460087</v>
      </c>
      <c r="W5" s="117" cm="1">
        <f t="array" ref="W5">S5/D5</f>
        <v>0.133359757762697</v>
      </c>
      <c r="X5" s="154">
        <v>165.08</v>
      </c>
      <c r="Y5" s="155">
        <v>234.33</v>
      </c>
    </row>
    <row r="6" ht="22.85" customHeight="1">
      <c r="A6" t="s" s="63">
        <v>46</v>
      </c>
      <c r="B6" s="64"/>
      <c r="C6" s="65"/>
      <c r="D6" s="64"/>
      <c r="E6" s="64"/>
      <c r="F6" s="64"/>
      <c r="G6" s="64"/>
      <c r="H6" s="66" cm="1">
        <f t="array" ref="H6">SUM(H3:H5)</f>
        <v>22.575</v>
      </c>
      <c r="I6" s="67"/>
      <c r="J6" s="68" cm="1">
        <f t="array" ref="J6">SUM(J3:J5)</f>
        <v>7343.424771736</v>
      </c>
      <c r="K6" s="156" cm="1">
        <f t="array" ref="K6">SUM(K3:K5)</f>
        <v>7902.282528252</v>
      </c>
      <c r="L6" s="68" cm="1">
        <f t="array" ref="L6">SUM(L3:L5)</f>
        <v>558.857756516</v>
      </c>
      <c r="M6" s="69" cm="1">
        <f t="array" ref="M6">SUM(M3:M5)</f>
        <v>-2.41591970961963e-14</v>
      </c>
      <c r="N6" s="70" cm="1">
        <f t="array" ref="N6">(K6-J6)/J6</f>
        <v>0.0761031499453742</v>
      </c>
      <c r="O6" s="120" cm="1">
        <f t="array" ref="O6">SUM(G3:G5)</f>
        <v>0.228305215946436</v>
      </c>
      <c r="P6" s="65"/>
      <c r="Q6" s="157" cm="1">
        <f t="array" ref="Q6">SUM(Q3:Q5)</f>
        <v>20.67</v>
      </c>
      <c r="R6" s="157" cm="1">
        <f t="array" ref="R6">SUM(R3:R5)</f>
        <v>5.1675</v>
      </c>
      <c r="S6" s="74" cm="1">
        <f t="array" ref="S6">SUM(S3:S5)</f>
        <v>90.81432240300001</v>
      </c>
      <c r="T6" s="74" cm="1">
        <f t="array" ref="T6">SUM(T3:T5)</f>
        <v>363.257289612</v>
      </c>
      <c r="U6" s="66" cm="1">
        <f t="array" ref="U6">SUM(U3:U5)</f>
        <v>272.172376673570</v>
      </c>
      <c r="V6" s="66" cm="1">
        <f t="array" ref="V6">SUM(V3:V5)</f>
        <v>249.597376673570</v>
      </c>
      <c r="W6" s="66" cm="1">
        <f t="array" ref="W6">SUM(W3:W5)</f>
        <v>1.57272237796273</v>
      </c>
      <c r="X6" s="157" cm="1">
        <f t="array" ref="X6">SUM(X3:X5)</f>
        <v>448.17</v>
      </c>
      <c r="Y6" s="159" cm="1">
        <f t="array" ref="Y6">SUM(Y3:Y5)</f>
        <v>581.85</v>
      </c>
    </row>
  </sheetData>
  <conditionalFormatting sqref="C3:C5">
    <cfRule type="cellIs" dxfId="88" priority="1" operator="lessThan" stopIfTrue="1">
      <formula>35.87</formula>
    </cfRule>
    <cfRule type="cellIs" dxfId="89" priority="2" operator="lessThan" stopIfTrue="1">
      <formula>31.88</formula>
    </cfRule>
    <cfRule type="cellIs" dxfId="90" priority="3" operator="greaterThan" stopIfTrue="1">
      <formula>43.84</formula>
    </cfRule>
    <cfRule type="cellIs" dxfId="91" priority="4" operator="greaterThan" stopIfTrue="1">
      <formula>48.79</formula>
    </cfRule>
  </conditionalFormatting>
  <conditionalFormatting sqref="D3">
    <cfRule type="cellIs" dxfId="92" priority="1" operator="between" stopIfTrue="1">
      <formula>235.98</formula>
      <formula>209.77</formula>
    </cfRule>
    <cfRule type="cellIs" dxfId="93" priority="2" operator="lessThanOrEqual" stopIfTrue="1">
      <formula>209.76</formula>
    </cfRule>
    <cfRule type="cellIs" dxfId="94" priority="3" operator="between" stopIfTrue="1">
      <formula>288.42</formula>
      <formula>314.63</formula>
    </cfRule>
    <cfRule type="cellIs" dxfId="95" priority="4" operator="greaterThan" stopIfTrue="1">
      <formula>314.64</formula>
    </cfRule>
  </conditionalFormatting>
  <conditionalFormatting sqref="D4">
    <cfRule type="cellIs" dxfId="96" priority="1" operator="between" stopIfTrue="1">
      <formula>25.24</formula>
      <formula>22.43</formula>
    </cfRule>
    <cfRule type="cellIs" dxfId="97" priority="2" operator="lessThanOrEqual" stopIfTrue="1">
      <formula>22.44</formula>
    </cfRule>
    <cfRule type="cellIs" dxfId="98" priority="3" operator="between" stopIfTrue="1">
      <formula>30.85</formula>
      <formula>33.65</formula>
    </cfRule>
    <cfRule type="cellIs" dxfId="99" priority="4" operator="greaterThanOrEqual" stopIfTrue="1">
      <formula>33.66</formula>
    </cfRule>
  </conditionalFormatting>
  <conditionalFormatting sqref="D5">
    <cfRule type="cellIs" dxfId="100" priority="1" operator="between" stopIfTrue="1">
      <formula>158.28</formula>
      <formula>140.68</formula>
    </cfRule>
    <cfRule type="cellIs" dxfId="101" priority="2" operator="lessThanOrEqual" stopIfTrue="1">
      <formula>140.69</formula>
    </cfRule>
    <cfRule type="cellIs" dxfId="102" priority="3" operator="between" stopIfTrue="1">
      <formula>193.45</formula>
      <formula>211.03</formula>
    </cfRule>
    <cfRule type="cellIs" dxfId="103" priority="4" operator="greaterThan" stopIfTrue="1">
      <formula>211.04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  <legacyDrawing r:id="rId2"/>
</worksheet>
</file>

<file path=xl/worksheets/sheet30.xml><?xml version="1.0" encoding="utf-8"?>
<worksheet xmlns:r="http://schemas.openxmlformats.org/officeDocument/2006/relationships" xmlns="http://schemas.openxmlformats.org/spreadsheetml/2006/main">
  <sheetPr>
    <pageSetUpPr fitToPage="1"/>
  </sheetPr>
  <dimension ref="A2"/>
  <sheetViews>
    <sheetView workbookViewId="0" showGridLines="0" defaultGridColor="1"/>
  </sheetViews>
  <sheetFormatPr defaultColWidth="16.3333" defaultRowHeight="21.65" customHeight="1" outlineLevelRow="0" outlineLevelCol="0"/>
  <cols>
    <col min="1" max="1" width="16.3516" style="201" customWidth="1"/>
    <col min="2" max="16384" width="16.3516" style="201" customWidth="1"/>
  </cols>
  <sheetData>
    <row r="1" ht="30" customHeight="1">
      <c r="A1" t="s" s="17">
        <v>120</v>
      </c>
    </row>
    <row r="2" ht="22.75" customHeight="1">
      <c r="A2" s="161">
        <v>12</v>
      </c>
    </row>
  </sheetData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65" customHeight="1" outlineLevelRow="0" outlineLevelCol="0"/>
  <cols>
    <col min="1" max="5" width="16.3516" style="202" customWidth="1"/>
    <col min="6" max="16384" width="16.3516" style="202" customWidth="1"/>
  </cols>
  <sheetData>
    <row r="1" ht="30" customHeight="1">
      <c r="A1" t="s" s="17">
        <v>47</v>
      </c>
      <c r="B1" s="17"/>
      <c r="C1" s="17"/>
      <c r="D1" s="17"/>
      <c r="E1" s="17"/>
    </row>
    <row r="2" ht="22.85" customHeight="1">
      <c r="A2" s="77"/>
      <c r="B2" s="78"/>
      <c r="C2" s="78"/>
      <c r="D2" s="78"/>
      <c r="E2" s="79"/>
    </row>
    <row r="3" ht="22.75" customHeight="1">
      <c r="A3" s="80"/>
      <c r="B3" s="81"/>
      <c r="C3" s="81"/>
      <c r="D3" s="81"/>
      <c r="E3" s="82"/>
    </row>
    <row r="4" ht="22.5" customHeight="1">
      <c r="A4" s="83"/>
      <c r="B4" s="84"/>
      <c r="C4" s="84"/>
      <c r="D4" s="84"/>
      <c r="E4" s="85"/>
    </row>
    <row r="5" ht="22.5" customHeight="1">
      <c r="A5" s="83"/>
      <c r="B5" s="86"/>
      <c r="C5" s="86"/>
      <c r="D5" s="86"/>
      <c r="E5" s="87"/>
    </row>
    <row r="6" ht="22.5" customHeight="1">
      <c r="A6" s="83"/>
      <c r="B6" s="84"/>
      <c r="C6" s="84"/>
      <c r="D6" s="84"/>
      <c r="E6" s="85"/>
    </row>
    <row r="7" ht="22.5" customHeight="1">
      <c r="A7" s="83"/>
      <c r="B7" s="86"/>
      <c r="C7" s="86"/>
      <c r="D7" s="86"/>
      <c r="E7" s="87"/>
    </row>
    <row r="8" ht="22.5" customHeight="1">
      <c r="A8" s="83"/>
      <c r="B8" s="84"/>
      <c r="C8" s="84"/>
      <c r="D8" s="84"/>
      <c r="E8" s="85"/>
    </row>
    <row r="9" ht="22.5" customHeight="1">
      <c r="A9" s="83"/>
      <c r="B9" s="86"/>
      <c r="C9" s="86"/>
      <c r="D9" s="86"/>
      <c r="E9" s="87"/>
    </row>
    <row r="10" ht="22.5" customHeight="1">
      <c r="A10" s="83"/>
      <c r="B10" s="84"/>
      <c r="C10" s="84"/>
      <c r="D10" s="84"/>
      <c r="E10" s="85"/>
    </row>
    <row r="11" ht="22.6" customHeight="1">
      <c r="A11" s="88"/>
      <c r="B11" s="89"/>
      <c r="C11" s="89"/>
      <c r="D11" s="89"/>
      <c r="E11" s="90"/>
    </row>
  </sheetData>
  <mergeCells count="1">
    <mergeCell ref="A1:E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style="203" customWidth="1"/>
  </cols>
  <sheetData/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</worksheet>
</file>

<file path=xl/worksheets/sheet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3"/>
  <sheetViews>
    <sheetView workbookViewId="0" showGridLines="0" defaultGridColor="1"/>
  </sheetViews>
  <sheetFormatPr defaultColWidth="26.2615" defaultRowHeight="21.65" customHeight="1" outlineLevelRow="0" outlineLevelCol="0"/>
  <cols>
    <col min="1" max="1" width="26.2656" style="204" customWidth="1"/>
    <col min="2" max="2" width="28" style="204" customWidth="1"/>
    <col min="3" max="3" width="3.35156" style="204" customWidth="1"/>
    <col min="4" max="16384" width="26.2656" style="204" customWidth="1"/>
  </cols>
  <sheetData>
    <row r="1" ht="80" customHeight="1">
      <c r="A1" t="s" s="7">
        <v>196</v>
      </c>
      <c r="B1" s="205" cm="1">
        <f t="array" ref="B1">'STOCKS - Meu Portfólio'!D3</f>
        <v>337.46</v>
      </c>
      <c r="C1" s="9"/>
    </row>
    <row r="2" ht="64" customHeight="1">
      <c r="A2" t="s" s="10">
        <v>8</v>
      </c>
      <c r="B2" s="11" cm="1">
        <f t="array" ref="B2">'STOCKS - Meu Portfólio'!L4-'STOCKS - Meu Portfólio'!M4</f>
        <v>-383.25987896</v>
      </c>
      <c r="C2" t="str" s="12" cm="1">
        <f t="array" ref="C2">IF(B2&gt;0,"↑",IF(B2&lt;0,"↓","–"))</f>
        <v>↓</v>
      </c>
    </row>
    <row r="3" ht="64" customHeight="1">
      <c r="A3" t="s" s="13">
        <v>10</v>
      </c>
      <c r="B3" s="14" cm="1">
        <f t="array" ref="B3">'STOCKS - Meu Portfólio'!O$4</f>
        <v>-0.104405520169851</v>
      </c>
      <c r="C3" t="str" s="15" cm="1">
        <f t="array" ref="C3">IF(B3="–","–",IF(B3&gt;0,"↑",IF(B3&lt;0,"↓","–")))</f>
        <v>↓</v>
      </c>
    </row>
  </sheetData>
  <mergeCells count="1">
    <mergeCell ref="B1:C1"/>
  </mergeCells>
  <conditionalFormatting sqref="B2:B3">
    <cfRule type="cellIs" dxfId="104" priority="1" operator="greaterThan" stopIfTrue="1">
      <formula>0</formula>
    </cfRule>
    <cfRule type="cellIs" dxfId="105" priority="2" operator="lessThan" stopIfTrue="1">
      <formula>0</formula>
    </cfRule>
  </conditionalFormatting>
  <conditionalFormatting sqref="C2:C3">
    <cfRule type="cellIs" dxfId="106" priority="1" operator="equal" stopIfTrue="1">
      <formula>"↑"</formula>
    </cfRule>
    <cfRule type="cellIs" dxfId="107" priority="2" operator="equal" stopIfTrue="1">
      <formula>"↓"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5"/>
  <sheetViews>
    <sheetView workbookViewId="0" showGridLines="0" defaultGridColor="1"/>
  </sheetViews>
  <sheetFormatPr defaultColWidth="16.3333" defaultRowHeight="21.65" customHeight="1" outlineLevelRow="0" outlineLevelCol="0"/>
  <cols>
    <col min="1" max="1" width="16.3516" style="206" customWidth="1"/>
    <col min="2" max="2" width="43.4297" style="206" customWidth="1"/>
    <col min="3" max="16384" width="16.3516" style="206" customWidth="1"/>
  </cols>
  <sheetData>
    <row r="1" ht="30" customHeight="1">
      <c r="A1" t="s" s="17">
        <v>11</v>
      </c>
      <c r="B1" s="17"/>
    </row>
    <row r="2" ht="22.6" customHeight="1">
      <c r="A2" s="18"/>
      <c r="B2" t="s" s="19">
        <v>13</v>
      </c>
    </row>
    <row r="3" ht="22.5" customHeight="1">
      <c r="A3" s="20"/>
      <c r="B3" t="s" s="21">
        <v>79</v>
      </c>
    </row>
    <row r="4" ht="22.5" customHeight="1">
      <c r="A4" s="22"/>
      <c r="B4" t="s" s="23">
        <v>15</v>
      </c>
    </row>
    <row r="5" ht="22.6" customHeight="1">
      <c r="A5" s="24"/>
      <c r="B5" t="s" s="25">
        <v>16</v>
      </c>
    </row>
  </sheetData>
  <mergeCells count="1">
    <mergeCell ref="A1:B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W4"/>
  <sheetViews>
    <sheetView workbookViewId="0" showGridLines="0" defaultGridColor="1">
      <pane topLeftCell="B1" xSplit="1" ySplit="0" activePane="topRight" state="frozen"/>
    </sheetView>
  </sheetViews>
  <sheetFormatPr defaultColWidth="11.6667" defaultRowHeight="21.65" customHeight="1" outlineLevelRow="0" outlineLevelCol="0"/>
  <cols>
    <col min="1" max="1" width="10.2734" style="207" customWidth="1"/>
    <col min="2" max="2" width="26.3438" style="207" customWidth="1"/>
    <col min="3" max="3" width="28.4922" style="207" customWidth="1"/>
    <col min="4" max="4" width="10.6094" style="207" customWidth="1"/>
    <col min="5" max="5" width="11.8047" style="207" customWidth="1"/>
    <col min="6" max="6" width="12.1328" style="207" customWidth="1"/>
    <col min="7" max="7" width="11.1172" style="207" customWidth="1"/>
    <col min="8" max="8" width="8.75" style="207" customWidth="1"/>
    <col min="9" max="9" hidden="1" width="11.6667" style="207" customWidth="1"/>
    <col min="10" max="11" width="14.6016" style="207" customWidth="1"/>
    <col min="12" max="12" width="12.1328" style="207" customWidth="1"/>
    <col min="13" max="14" hidden="1" width="11.6667" style="207" customWidth="1"/>
    <col min="15" max="20" width="12.1328" style="207" customWidth="1"/>
    <col min="21" max="21" width="17.8906" style="207" customWidth="1"/>
    <col min="22" max="23" width="12.1328" style="207" customWidth="1"/>
    <col min="24" max="16384" width="11.6719" style="207" customWidth="1"/>
  </cols>
  <sheetData>
    <row r="1" ht="22.6" customHeight="1">
      <c r="A1" s="27"/>
      <c r="B1" s="28"/>
      <c r="C1" s="29"/>
      <c r="D1" s="28"/>
      <c r="E1" s="28"/>
      <c r="F1" s="28"/>
      <c r="G1" s="28"/>
      <c r="H1" s="28"/>
      <c r="I1" s="30"/>
      <c r="J1" s="28"/>
      <c r="K1" s="28"/>
      <c r="L1" s="28"/>
      <c r="M1" s="28"/>
      <c r="N1" s="28"/>
      <c r="O1" s="28"/>
      <c r="P1" s="29"/>
      <c r="Q1" s="28"/>
      <c r="R1" s="28"/>
      <c r="S1" s="28"/>
      <c r="T1" s="28"/>
      <c r="U1" s="28"/>
      <c r="V1" s="28"/>
      <c r="W1" s="31"/>
    </row>
    <row r="2" ht="50.5" customHeight="1">
      <c r="A2" t="s" s="32">
        <v>19</v>
      </c>
      <c r="B2" t="s" s="33">
        <v>20</v>
      </c>
      <c r="C2" t="s" s="34">
        <v>82</v>
      </c>
      <c r="D2" t="s" s="33">
        <v>22</v>
      </c>
      <c r="E2" t="s" s="33">
        <v>23</v>
      </c>
      <c r="F2" t="s" s="34">
        <v>24</v>
      </c>
      <c r="G2" t="s" s="33">
        <v>10</v>
      </c>
      <c r="H2" t="s" s="33">
        <v>83</v>
      </c>
      <c r="I2" t="s" s="35">
        <v>26</v>
      </c>
      <c r="J2" t="s" s="33">
        <v>84</v>
      </c>
      <c r="K2" t="s" s="33">
        <v>7</v>
      </c>
      <c r="L2" t="s" s="33">
        <v>28</v>
      </c>
      <c r="M2" t="s" s="33">
        <v>29</v>
      </c>
      <c r="N2" t="s" s="33">
        <v>30</v>
      </c>
      <c r="O2" s="33"/>
      <c r="P2" t="s" s="34">
        <v>85</v>
      </c>
      <c r="Q2" t="s" s="34">
        <v>99</v>
      </c>
      <c r="R2" t="s" s="33">
        <v>87</v>
      </c>
      <c r="S2" t="s" s="33">
        <v>35</v>
      </c>
      <c r="T2" t="s" s="33">
        <v>36</v>
      </c>
      <c r="U2" t="s" s="34">
        <v>37</v>
      </c>
      <c r="V2" t="s" s="33">
        <v>38</v>
      </c>
      <c r="W2" t="s" s="36">
        <v>39</v>
      </c>
    </row>
    <row r="3" ht="22.75" customHeight="1">
      <c r="A3" t="s" s="48">
        <v>199</v>
      </c>
      <c r="B3" t="str" s="108">
        <v>Ferrari N.V.</v>
      </c>
      <c r="C3" t="s" s="109">
        <v>201</v>
      </c>
      <c r="D3" s="151">
        <v>337.46</v>
      </c>
      <c r="E3" s="151">
        <v>376.8</v>
      </c>
      <c r="F3" s="151" cm="1">
        <f t="array" ref="F3">D3-E3</f>
        <v>-39.34</v>
      </c>
      <c r="G3" s="194" cm="1">
        <f t="array" ref="G3">(D3-E3)/E3</f>
        <v>-0.104405520169851</v>
      </c>
      <c r="H3" s="112">
        <v>1.99</v>
      </c>
      <c r="I3" s="113">
        <v>0.20426506</v>
      </c>
      <c r="J3" s="114">
        <v>3670.8775392</v>
      </c>
      <c r="K3" s="152">
        <v>3287.61766024</v>
      </c>
      <c r="L3" s="110" cm="1">
        <f t="array" ref="L3">_xlfn.IFERROR(K3-J3,"–")</f>
        <v>-383.25987896</v>
      </c>
      <c r="M3" s="114">
        <v>-3.62295622835518e-14</v>
      </c>
      <c r="N3" s="115" cm="1">
        <f t="array" ref="N3">_xlfn.IFERROR((K3-J3)/J3,"–")</f>
        <v>-0.104405520169851</v>
      </c>
      <c r="O3" s="108"/>
      <c r="P3" s="116">
        <v>46147</v>
      </c>
      <c r="Q3" s="208">
        <v>4.23</v>
      </c>
      <c r="R3" s="110">
        <v>48.51878103</v>
      </c>
      <c r="S3" s="117" cm="1">
        <f t="array" ref="S3">D3/Q3</f>
        <v>79.7777777777778</v>
      </c>
      <c r="T3" s="117" cm="1">
        <f t="array" ref="T3">S3-H3</f>
        <v>77.7877777777778</v>
      </c>
      <c r="U3" s="117" cm="1">
        <f t="array" ref="U3">R3/D3</f>
        <v>0.143776391364903</v>
      </c>
      <c r="V3" s="154">
        <v>312.51</v>
      </c>
      <c r="W3" s="155">
        <v>519.1</v>
      </c>
    </row>
    <row r="4" ht="22.85" customHeight="1">
      <c r="A4" t="s" s="63">
        <v>46</v>
      </c>
      <c r="B4" s="64"/>
      <c r="C4" s="65"/>
      <c r="D4" s="64"/>
      <c r="E4" s="64"/>
      <c r="F4" s="64"/>
      <c r="G4" s="64"/>
      <c r="H4" s="66" cm="1">
        <f t="array" ref="H4">SUM(H3:H3)</f>
        <v>1.99</v>
      </c>
      <c r="I4" s="67"/>
      <c r="J4" s="68" cm="1">
        <f t="array" ref="J4">SUM(J3:J3)</f>
        <v>3670.8775392</v>
      </c>
      <c r="K4" s="156" cm="1">
        <f t="array" ref="K4">SUM(K3:K3)</f>
        <v>3287.61766024</v>
      </c>
      <c r="L4" s="68" cm="1">
        <f t="array" ref="L4">SUM(L3:L3)</f>
        <v>-383.25987896</v>
      </c>
      <c r="M4" s="69" cm="1">
        <f t="array" ref="M4">SUM(M3:M3)</f>
        <v>-3.62295622835518e-14</v>
      </c>
      <c r="N4" s="70" cm="1">
        <f t="array" ref="N4">(K4-J4)/J4</f>
        <v>-0.104405520169851</v>
      </c>
      <c r="O4" s="120" cm="1">
        <f t="array" ref="O4">(K$4-J$4)/J$4</f>
        <v>-0.104405520169851</v>
      </c>
      <c r="P4" s="65"/>
      <c r="Q4" s="209" cm="1">
        <f t="array" ref="Q4">SUM(Q3:Q3)</f>
        <v>4.23</v>
      </c>
      <c r="R4" s="74" cm="1">
        <f t="array" ref="R4">SUM(R3:R3)</f>
        <v>48.51878103</v>
      </c>
      <c r="S4" s="66" cm="1">
        <f t="array" ref="S4">SUM(S3:S3)</f>
        <v>79.7777777777778</v>
      </c>
      <c r="T4" s="66" cm="1">
        <f t="array" ref="T4">SUM(T3:T3)</f>
        <v>77.7877777777778</v>
      </c>
      <c r="U4" s="66" cm="1">
        <f t="array" ref="U4">SUM(U3:U3)</f>
        <v>0.143776391364903</v>
      </c>
      <c r="V4" s="157" cm="1">
        <f t="array" ref="V4">SUM(V3:V3)</f>
        <v>312.51</v>
      </c>
      <c r="W4" s="159" cm="1">
        <f t="array" ref="W4">SUM(W3:W3)</f>
        <v>519.1</v>
      </c>
    </row>
  </sheetData>
  <conditionalFormatting sqref="C3">
    <cfRule type="cellIs" dxfId="108" priority="1" operator="lessThan" stopIfTrue="1">
      <formula>35.87</formula>
    </cfRule>
    <cfRule type="cellIs" dxfId="109" priority="2" operator="lessThan" stopIfTrue="1">
      <formula>31.88</formula>
    </cfRule>
    <cfRule type="cellIs" dxfId="110" priority="3" operator="greaterThan" stopIfTrue="1">
      <formula>43.84</formula>
    </cfRule>
    <cfRule type="cellIs" dxfId="111" priority="4" operator="greaterThan" stopIfTrue="1">
      <formula>48.79</formula>
    </cfRule>
  </conditionalFormatting>
  <conditionalFormatting sqref="D3">
    <cfRule type="cellIs" dxfId="112" priority="1" operator="between" stopIfTrue="1">
      <formula>339.12</formula>
      <formula>301.43</formula>
    </cfRule>
    <cfRule type="cellIs" dxfId="113" priority="2" operator="lessThanOrEqual" stopIfTrue="1">
      <formula>301.44</formula>
    </cfRule>
    <cfRule type="cellIs" dxfId="114" priority="3" operator="between" stopIfTrue="1">
      <formula>414.48</formula>
      <formula>452.15</formula>
    </cfRule>
    <cfRule type="cellIs" dxfId="115" priority="4" operator="greaterThanOrEqual" stopIfTrue="1">
      <formula>452.16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  <legacyDrawing r:id="rId2"/>
</worksheet>
</file>

<file path=xl/worksheets/sheet36.xml><?xml version="1.0" encoding="utf-8"?>
<worksheet xmlns:r="http://schemas.openxmlformats.org/officeDocument/2006/relationships" xmlns="http://schemas.openxmlformats.org/spreadsheetml/2006/main">
  <sheetPr>
    <pageSetUpPr fitToPage="1"/>
  </sheetPr>
  <dimension ref="A2"/>
  <sheetViews>
    <sheetView workbookViewId="0" showGridLines="0" defaultGridColor="1"/>
  </sheetViews>
  <sheetFormatPr defaultColWidth="16.3333" defaultRowHeight="21.65" customHeight="1" outlineLevelRow="0" outlineLevelCol="0"/>
  <cols>
    <col min="1" max="1" width="16.3516" style="210" customWidth="1"/>
    <col min="2" max="16384" width="16.3516" style="210" customWidth="1"/>
  </cols>
  <sheetData>
    <row r="1" ht="30" customHeight="1">
      <c r="A1" t="s" s="17">
        <v>120</v>
      </c>
    </row>
    <row r="2" ht="22.75" customHeight="1">
      <c r="A2" s="161">
        <v>12</v>
      </c>
    </row>
  </sheetData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65" customHeight="1" outlineLevelRow="0" outlineLevelCol="0"/>
  <cols>
    <col min="1" max="5" width="16.3516" style="211" customWidth="1"/>
    <col min="6" max="16384" width="16.3516" style="211" customWidth="1"/>
  </cols>
  <sheetData>
    <row r="1" ht="30" customHeight="1">
      <c r="A1" t="s" s="17">
        <v>47</v>
      </c>
      <c r="B1" s="17"/>
      <c r="C1" s="17"/>
      <c r="D1" s="17"/>
      <c r="E1" s="17"/>
    </row>
    <row r="2" ht="22.85" customHeight="1">
      <c r="A2" s="77"/>
      <c r="B2" s="78"/>
      <c r="C2" s="78"/>
      <c r="D2" s="78"/>
      <c r="E2" s="79"/>
    </row>
    <row r="3" ht="22.75" customHeight="1">
      <c r="A3" s="80"/>
      <c r="B3" s="81"/>
      <c r="C3" s="81"/>
      <c r="D3" s="81"/>
      <c r="E3" s="82"/>
    </row>
    <row r="4" ht="22.5" customHeight="1">
      <c r="A4" s="83"/>
      <c r="B4" s="84"/>
      <c r="C4" s="84"/>
      <c r="D4" s="84"/>
      <c r="E4" s="85"/>
    </row>
    <row r="5" ht="22.5" customHeight="1">
      <c r="A5" s="83"/>
      <c r="B5" s="86"/>
      <c r="C5" s="86"/>
      <c r="D5" s="86"/>
      <c r="E5" s="87"/>
    </row>
    <row r="6" ht="22.5" customHeight="1">
      <c r="A6" s="83"/>
      <c r="B6" s="84"/>
      <c r="C6" s="84"/>
      <c r="D6" s="84"/>
      <c r="E6" s="85"/>
    </row>
    <row r="7" ht="22.5" customHeight="1">
      <c r="A7" s="83"/>
      <c r="B7" s="86"/>
      <c r="C7" s="86"/>
      <c r="D7" s="86"/>
      <c r="E7" s="87"/>
    </row>
    <row r="8" ht="22.5" customHeight="1">
      <c r="A8" s="83"/>
      <c r="B8" s="84"/>
      <c r="C8" s="84"/>
      <c r="D8" s="84"/>
      <c r="E8" s="85"/>
    </row>
    <row r="9" ht="22.5" customHeight="1">
      <c r="A9" s="83"/>
      <c r="B9" s="86"/>
      <c r="C9" s="86"/>
      <c r="D9" s="86"/>
      <c r="E9" s="87"/>
    </row>
    <row r="10" ht="22.5" customHeight="1">
      <c r="A10" s="83"/>
      <c r="B10" s="84"/>
      <c r="C10" s="84"/>
      <c r="D10" s="84"/>
      <c r="E10" s="85"/>
    </row>
    <row r="11" ht="22.6" customHeight="1">
      <c r="A11" s="88"/>
      <c r="B11" s="89"/>
      <c r="C11" s="89"/>
      <c r="D11" s="89"/>
      <c r="E11" s="90"/>
    </row>
  </sheetData>
  <mergeCells count="1">
    <mergeCell ref="A1:E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style="212" customWidth="1"/>
  </cols>
  <sheetData/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</worksheet>
</file>

<file path=xl/worksheets/sheet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3"/>
  <sheetViews>
    <sheetView workbookViewId="0" showGridLines="0" defaultGridColor="1"/>
  </sheetViews>
  <sheetFormatPr defaultColWidth="26.2615" defaultRowHeight="21.65" customHeight="1" outlineLevelRow="0" outlineLevelCol="0"/>
  <cols>
    <col min="1" max="1" width="26.2656" style="213" customWidth="1"/>
    <col min="2" max="2" width="28" style="213" customWidth="1"/>
    <col min="3" max="3" width="3.35156" style="213" customWidth="1"/>
    <col min="4" max="16384" width="26.2656" style="213" customWidth="1"/>
  </cols>
  <sheetData>
    <row r="1" ht="80" customHeight="1">
      <c r="A1" t="s" s="7">
        <v>196</v>
      </c>
      <c r="B1" s="8" cm="1">
        <f t="array" ref="B1">'CDB - Meu Portfólio'!R6+'CDB - Meu Portfólio-1'!K6</f>
        <v>2157.064432765220</v>
      </c>
      <c r="C1" s="9"/>
    </row>
    <row r="2" ht="64" customHeight="1">
      <c r="A2" t="s" s="10">
        <v>207</v>
      </c>
      <c r="B2" s="214" cm="1">
        <f t="array" ref="B2">'CDB - Meu Portfólio'!S6+'CDB - Meu Portfólio-1'!R6</f>
        <v>92.614432765220</v>
      </c>
      <c r="C2" t="str" s="12" cm="1">
        <f t="array" ref="C2">IF(B2&gt;0,"↑",IF(B2&lt;0,"↓","–"))</f>
        <v>↑</v>
      </c>
    </row>
    <row r="3" ht="64" customHeight="1">
      <c r="A3" t="s" s="13">
        <v>10</v>
      </c>
      <c r="B3" s="14" cm="1">
        <f t="array" ref="B3">'CDB - Meu Portfólio'!T6+'CDB - Meu Portfólio-1'!N6</f>
        <v>0.0897526934858968</v>
      </c>
      <c r="C3" t="str" s="15" cm="1">
        <f t="array" ref="C3">IF(B3="–","–",IF(B3&gt;0,"↑",IF(B3&lt;0,"↓","–")))</f>
        <v>↑</v>
      </c>
    </row>
  </sheetData>
  <mergeCells count="1">
    <mergeCell ref="B1:C1"/>
  </mergeCells>
  <conditionalFormatting sqref="B2:B3">
    <cfRule type="cellIs" dxfId="116" priority="1" operator="greaterThan" stopIfTrue="1">
      <formula>0</formula>
    </cfRule>
    <cfRule type="cellIs" dxfId="117" priority="2" operator="lessThan" stopIfTrue="1">
      <formula>0</formula>
    </cfRule>
  </conditionalFormatting>
  <conditionalFormatting sqref="C2:C3">
    <cfRule type="cellIs" dxfId="118" priority="1" operator="equal" stopIfTrue="1">
      <formula>"↑"</formula>
    </cfRule>
    <cfRule type="cellIs" dxfId="119" priority="2" operator="equal" stopIfTrue="1">
      <formula>"↓"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40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5"/>
  <sheetViews>
    <sheetView workbookViewId="0" showGridLines="0" defaultGridColor="1"/>
  </sheetViews>
  <sheetFormatPr defaultColWidth="16.3333" defaultRowHeight="21.65" customHeight="1" outlineLevelRow="0" outlineLevelCol="0"/>
  <cols>
    <col min="1" max="1" width="16.3516" style="215" customWidth="1"/>
    <col min="2" max="2" width="43.4297" style="215" customWidth="1"/>
    <col min="3" max="16384" width="16.3516" style="215" customWidth="1"/>
  </cols>
  <sheetData>
    <row r="1" ht="30" customHeight="1">
      <c r="A1" t="s" s="17">
        <v>11</v>
      </c>
      <c r="B1" s="17"/>
    </row>
    <row r="2" ht="22.6" customHeight="1">
      <c r="A2" s="18"/>
      <c r="B2" t="s" s="19">
        <v>13</v>
      </c>
    </row>
    <row r="3" ht="22.5" customHeight="1">
      <c r="A3" s="20"/>
      <c r="B3" t="s" s="21">
        <v>79</v>
      </c>
    </row>
    <row r="4" ht="22.5" customHeight="1">
      <c r="A4" s="22"/>
      <c r="B4" t="s" s="23">
        <v>15</v>
      </c>
    </row>
    <row r="5" ht="22.6" customHeight="1">
      <c r="A5" s="24"/>
      <c r="B5" t="s" s="25">
        <v>16</v>
      </c>
    </row>
  </sheetData>
  <mergeCells count="1">
    <mergeCell ref="A1:B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28"/>
  <sheetViews>
    <sheetView workbookViewId="0" showGridLines="0" defaultGridColor="1">
      <pane topLeftCell="B1" xSplit="1" ySplit="0" activePane="topRight" state="frozen"/>
    </sheetView>
  </sheetViews>
  <sheetFormatPr defaultColWidth="11.6667" defaultRowHeight="21.65" customHeight="1" outlineLevelRow="0" outlineLevelCol="0"/>
  <cols>
    <col min="1" max="1" width="10.2734" style="216" customWidth="1"/>
    <col min="2" max="2" width="26.3438" style="216" customWidth="1"/>
    <col min="3" max="5" width="28.4922" style="216" customWidth="1"/>
    <col min="6" max="6" width="12.25" style="216" customWidth="1"/>
    <col min="7" max="7" width="11.8047" style="216" customWidth="1"/>
    <col min="8" max="8" width="12.1328" style="216" customWidth="1"/>
    <col min="9" max="9" width="8.75" style="216" customWidth="1"/>
    <col min="10" max="10" hidden="1" width="11.6667" style="216" customWidth="1"/>
    <col min="11" max="11" width="14.6016" style="216" customWidth="1"/>
    <col min="12" max="13" hidden="1" width="11.6667" style="216" customWidth="1"/>
    <col min="14" max="18" width="12.1328" style="216" customWidth="1"/>
    <col min="19" max="22" width="13.4453" style="216" customWidth="1"/>
    <col min="23" max="16384" width="11.6719" style="216" customWidth="1"/>
  </cols>
  <sheetData>
    <row r="1" ht="22.6" customHeight="1">
      <c r="A1" s="27"/>
      <c r="B1" s="28"/>
      <c r="C1" s="29"/>
      <c r="D1" s="29"/>
      <c r="E1" s="29"/>
      <c r="F1" s="28"/>
      <c r="G1" s="28"/>
      <c r="H1" s="28"/>
      <c r="I1" s="28"/>
      <c r="J1" s="30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31"/>
    </row>
    <row r="2" ht="36.5" customHeight="1">
      <c r="A2" t="s" s="32">
        <v>19</v>
      </c>
      <c r="B2" t="s" s="33">
        <v>20</v>
      </c>
      <c r="C2" t="s" s="34">
        <v>210</v>
      </c>
      <c r="D2" t="s" s="34">
        <v>211</v>
      </c>
      <c r="E2" t="s" s="34">
        <v>212</v>
      </c>
      <c r="F2" t="s" s="33">
        <v>22</v>
      </c>
      <c r="G2" t="s" s="33">
        <v>23</v>
      </c>
      <c r="H2" t="s" s="34">
        <v>24</v>
      </c>
      <c r="I2" t="s" s="33">
        <v>83</v>
      </c>
      <c r="J2" t="s" s="35">
        <v>26</v>
      </c>
      <c r="K2" t="s" s="33">
        <v>84</v>
      </c>
      <c r="L2" t="s" s="33">
        <v>29</v>
      </c>
      <c r="M2" t="s" s="33">
        <v>30</v>
      </c>
      <c r="N2" t="s" s="33">
        <v>213</v>
      </c>
      <c r="O2" t="s" s="33">
        <v>214</v>
      </c>
      <c r="P2" t="s" s="33">
        <v>215</v>
      </c>
      <c r="Q2" t="s" s="33">
        <v>216</v>
      </c>
      <c r="R2" t="s" s="33">
        <v>217</v>
      </c>
      <c r="S2" t="s" s="33">
        <v>218</v>
      </c>
      <c r="T2" t="s" s="33">
        <v>219</v>
      </c>
      <c r="U2" t="s" s="34">
        <v>220</v>
      </c>
      <c r="V2" t="s" s="217">
        <v>221</v>
      </c>
    </row>
    <row r="3" ht="22.5" customHeight="1">
      <c r="A3" t="s" s="37">
        <v>222</v>
      </c>
      <c r="B3" t="s" s="218">
        <v>223</v>
      </c>
      <c r="C3" s="219">
        <v>46027</v>
      </c>
      <c r="D3" s="219">
        <v>46757</v>
      </c>
      <c r="E3" t="s" s="128">
        <v>224</v>
      </c>
      <c r="F3" s="44">
        <v>1.03018</v>
      </c>
      <c r="G3" s="44">
        <v>1</v>
      </c>
      <c r="H3" s="44" cm="1">
        <f t="array" ref="H3">F3-G3</f>
        <v>0.03018</v>
      </c>
      <c r="I3" s="42">
        <v>1000</v>
      </c>
      <c r="J3" s="43">
        <v>0.20426506</v>
      </c>
      <c r="K3" s="44">
        <v>1000</v>
      </c>
      <c r="L3" s="44">
        <v>0</v>
      </c>
      <c r="M3" t="str" s="220" cm="1">
        <f t="array" ref="M3">_xlfn.IFERROR((#REF!-K3)/K3,"–")</f>
        <v>–</v>
      </c>
      <c r="N3" s="221">
        <v>46023</v>
      </c>
      <c r="O3" s="222">
        <v>0.0116</v>
      </c>
      <c r="P3" s="223" cm="1">
        <f t="array" ref="P3">1+O3</f>
        <v>1.0116</v>
      </c>
      <c r="Q3" s="223" cm="1">
        <f t="array" ref="Q3">P3</f>
        <v>1.0116</v>
      </c>
      <c r="R3" s="46" cm="1">
        <f t="array" ref="R3">K3*Q3</f>
        <v>1011.6</v>
      </c>
      <c r="S3" s="224" cm="1">
        <f t="array" ref="S3">R3-K3</f>
        <v>11.6</v>
      </c>
      <c r="T3" s="225" cm="1">
        <f t="array" ref="T3">(R3/K3)-1</f>
        <v>0.0116</v>
      </c>
      <c r="U3" s="225" cm="1">
        <f t="array" ref="U3">Q3-1</f>
        <v>0.0116</v>
      </c>
      <c r="V3" s="226" cm="1">
        <f t="array" ref="V3">T3-U3</f>
        <v>0</v>
      </c>
    </row>
    <row r="4" ht="22.5" customHeight="1">
      <c r="A4" s="227"/>
      <c r="B4" s="135"/>
      <c r="C4" s="228"/>
      <c r="D4" s="228"/>
      <c r="E4" s="228"/>
      <c r="F4" s="141"/>
      <c r="G4" s="141"/>
      <c r="H4" s="84"/>
      <c r="I4" s="84"/>
      <c r="J4" s="140"/>
      <c r="K4" s="141"/>
      <c r="L4" s="84"/>
      <c r="M4" s="143"/>
      <c r="N4" s="229">
        <v>46054</v>
      </c>
      <c r="O4" s="230">
        <v>0.01</v>
      </c>
      <c r="P4" s="231" cm="1">
        <f t="array" ref="P4">1+O4</f>
        <v>1.01</v>
      </c>
      <c r="Q4" s="231" cm="1">
        <f t="array" ref="Q4">Q3*P4</f>
        <v>1.021716</v>
      </c>
      <c r="R4" s="192" cm="1">
        <f t="array" ref="R4">K3*Q4</f>
        <v>1021.716</v>
      </c>
      <c r="S4" s="232" cm="1">
        <f t="array" ref="S4">R4-K3</f>
        <v>21.716</v>
      </c>
      <c r="T4" s="233" cm="1">
        <f t="array" ref="T4">(R4/K3)-1</f>
        <v>0.021716</v>
      </c>
      <c r="U4" s="233" cm="1">
        <f t="array" ref="U4">Q4-1</f>
        <v>0.021716</v>
      </c>
      <c r="V4" s="234" cm="1">
        <f t="array" ref="V4">T4-U4</f>
        <v>0</v>
      </c>
    </row>
    <row r="5" ht="22.5" customHeight="1">
      <c r="A5" s="227"/>
      <c r="B5" s="38"/>
      <c r="C5" s="235"/>
      <c r="D5" s="235"/>
      <c r="E5" s="235"/>
      <c r="F5" s="44"/>
      <c r="G5" s="44"/>
      <c r="H5" s="86"/>
      <c r="I5" s="86"/>
      <c r="J5" s="43"/>
      <c r="K5" s="44"/>
      <c r="L5" s="86"/>
      <c r="M5" s="45"/>
      <c r="N5" s="221">
        <v>46082</v>
      </c>
      <c r="O5" s="222">
        <v>0.0121</v>
      </c>
      <c r="P5" s="223" cm="1">
        <f t="array" ref="P5">1+O5</f>
        <v>1.0121</v>
      </c>
      <c r="Q5" s="223" cm="1">
        <f t="array" ref="Q5">Q4*P5</f>
        <v>1.0340787636</v>
      </c>
      <c r="R5" s="46" cm="1">
        <f t="array" ref="R5">K3*Q5</f>
        <v>1034.0787636</v>
      </c>
      <c r="S5" s="224" cm="1">
        <f t="array" ref="S5">R5-K3</f>
        <v>34.0787636</v>
      </c>
      <c r="T5" s="225" cm="1">
        <f t="array" ref="T5">(R5/K3)-1</f>
        <v>0.0340787636</v>
      </c>
      <c r="U5" s="225" cm="1">
        <f t="array" ref="U5">Q5-1</f>
        <v>0.0340787636</v>
      </c>
      <c r="V5" s="226" cm="1">
        <f t="array" ref="V5">T5-U5</f>
        <v>0</v>
      </c>
    </row>
    <row r="6" ht="22.5" customHeight="1">
      <c r="A6" s="227"/>
      <c r="B6" s="135"/>
      <c r="C6" s="228"/>
      <c r="D6" s="228"/>
      <c r="E6" s="228"/>
      <c r="F6" s="141"/>
      <c r="G6" s="141"/>
      <c r="H6" s="84"/>
      <c r="I6" s="84"/>
      <c r="J6" s="140"/>
      <c r="K6" s="141"/>
      <c r="L6" s="84"/>
      <c r="M6" s="143"/>
      <c r="N6" s="229">
        <v>46113</v>
      </c>
      <c r="O6" s="230">
        <v>0.0109</v>
      </c>
      <c r="P6" s="231" cm="1">
        <f t="array" ref="P6">1+O6</f>
        <v>1.0109</v>
      </c>
      <c r="Q6" s="231" cm="1">
        <f t="array" ref="Q6">Q5*P6</f>
        <v>1.04535022212324</v>
      </c>
      <c r="R6" s="192" cm="1">
        <f t="array" ref="R6">K3*Q6</f>
        <v>1045.350222123240</v>
      </c>
      <c r="S6" s="232" cm="1">
        <f t="array" ref="S6">R6-K3</f>
        <v>45.350222123240</v>
      </c>
      <c r="T6" s="233" cm="1">
        <f t="array" ref="T6">(R6/K3)-1</f>
        <v>0.04535022212324</v>
      </c>
      <c r="U6" s="233" cm="1">
        <f t="array" ref="U6">Q6-1</f>
        <v>0.04535022212324</v>
      </c>
      <c r="V6" s="234" cm="1">
        <f t="array" ref="V6">T6-U6</f>
        <v>0</v>
      </c>
    </row>
    <row r="7" ht="22.5" customHeight="1">
      <c r="A7" s="227"/>
      <c r="B7" s="38"/>
      <c r="C7" s="235"/>
      <c r="D7" s="235"/>
      <c r="E7" s="235"/>
      <c r="F7" s="44"/>
      <c r="G7" s="44"/>
      <c r="H7" s="86"/>
      <c r="I7" s="86"/>
      <c r="J7" s="43"/>
      <c r="K7" s="44"/>
      <c r="L7" s="86"/>
      <c r="M7" s="45"/>
      <c r="N7" s="221">
        <v>46143</v>
      </c>
      <c r="O7" s="38"/>
      <c r="P7" s="38"/>
      <c r="Q7" s="38"/>
      <c r="R7" s="38"/>
      <c r="S7" s="38"/>
      <c r="T7" s="38"/>
      <c r="U7" s="38"/>
      <c r="V7" s="236"/>
    </row>
    <row r="8" ht="22.5" customHeight="1">
      <c r="A8" s="227"/>
      <c r="B8" s="135"/>
      <c r="C8" s="228"/>
      <c r="D8" s="228"/>
      <c r="E8" s="228"/>
      <c r="F8" s="141"/>
      <c r="G8" s="141"/>
      <c r="H8" s="84"/>
      <c r="I8" s="84"/>
      <c r="J8" s="140"/>
      <c r="K8" s="141"/>
      <c r="L8" s="84"/>
      <c r="M8" s="143"/>
      <c r="N8" s="229">
        <v>46174</v>
      </c>
      <c r="O8" s="135"/>
      <c r="P8" s="135"/>
      <c r="Q8" s="135"/>
      <c r="R8" s="135"/>
      <c r="S8" s="135"/>
      <c r="T8" s="135"/>
      <c r="U8" s="135"/>
      <c r="V8" s="237"/>
    </row>
    <row r="9" ht="22.5" customHeight="1">
      <c r="A9" s="227"/>
      <c r="B9" s="38"/>
      <c r="C9" s="235"/>
      <c r="D9" s="235"/>
      <c r="E9" s="235"/>
      <c r="F9" s="44"/>
      <c r="G9" s="44"/>
      <c r="H9" s="86"/>
      <c r="I9" s="86"/>
      <c r="J9" s="43"/>
      <c r="K9" s="44"/>
      <c r="L9" s="86"/>
      <c r="M9" s="45"/>
      <c r="N9" s="221">
        <v>46204</v>
      </c>
      <c r="O9" s="38"/>
      <c r="P9" s="38"/>
      <c r="Q9" s="38"/>
      <c r="R9" s="38"/>
      <c r="S9" s="38"/>
      <c r="T9" s="38"/>
      <c r="U9" s="38"/>
      <c r="V9" s="236"/>
    </row>
    <row r="10" ht="22.5" customHeight="1">
      <c r="A10" s="227"/>
      <c r="B10" s="135"/>
      <c r="C10" s="228"/>
      <c r="D10" s="228"/>
      <c r="E10" s="228"/>
      <c r="F10" s="141"/>
      <c r="G10" s="141"/>
      <c r="H10" s="84"/>
      <c r="I10" s="84"/>
      <c r="J10" s="140"/>
      <c r="K10" s="141"/>
      <c r="L10" s="84"/>
      <c r="M10" s="143"/>
      <c r="N10" s="229">
        <v>46235</v>
      </c>
      <c r="O10" s="135"/>
      <c r="P10" s="135"/>
      <c r="Q10" s="135"/>
      <c r="R10" s="135"/>
      <c r="S10" s="135"/>
      <c r="T10" s="135"/>
      <c r="U10" s="135"/>
      <c r="V10" s="237"/>
    </row>
    <row r="11" ht="22.5" customHeight="1">
      <c r="A11" s="227"/>
      <c r="B11" s="38"/>
      <c r="C11" s="235"/>
      <c r="D11" s="235"/>
      <c r="E11" s="235"/>
      <c r="F11" s="44"/>
      <c r="G11" s="44"/>
      <c r="H11" s="86"/>
      <c r="I11" s="86"/>
      <c r="J11" s="43"/>
      <c r="K11" s="44"/>
      <c r="L11" s="86"/>
      <c r="M11" s="45"/>
      <c r="N11" s="221">
        <v>46266</v>
      </c>
      <c r="O11" s="38"/>
      <c r="P11" s="38"/>
      <c r="Q11" s="38"/>
      <c r="R11" s="38"/>
      <c r="S11" s="38"/>
      <c r="T11" s="38"/>
      <c r="U11" s="38"/>
      <c r="V11" s="236"/>
    </row>
    <row r="12" ht="22.5" customHeight="1">
      <c r="A12" s="227"/>
      <c r="B12" s="135"/>
      <c r="C12" s="228"/>
      <c r="D12" s="228"/>
      <c r="E12" s="228"/>
      <c r="F12" s="141"/>
      <c r="G12" s="141"/>
      <c r="H12" s="84"/>
      <c r="I12" s="84"/>
      <c r="J12" s="140"/>
      <c r="K12" s="141"/>
      <c r="L12" s="84"/>
      <c r="M12" s="143"/>
      <c r="N12" s="229">
        <v>46296</v>
      </c>
      <c r="O12" s="135"/>
      <c r="P12" s="135"/>
      <c r="Q12" s="135"/>
      <c r="R12" s="135"/>
      <c r="S12" s="135"/>
      <c r="T12" s="135"/>
      <c r="U12" s="135"/>
      <c r="V12" s="237"/>
    </row>
    <row r="13" ht="22.5" customHeight="1">
      <c r="A13" s="227"/>
      <c r="B13" s="38"/>
      <c r="C13" s="235"/>
      <c r="D13" s="235"/>
      <c r="E13" s="235"/>
      <c r="F13" s="44"/>
      <c r="G13" s="44"/>
      <c r="H13" s="86"/>
      <c r="I13" s="86"/>
      <c r="J13" s="43"/>
      <c r="K13" s="44"/>
      <c r="L13" s="86"/>
      <c r="M13" s="45"/>
      <c r="N13" s="221">
        <v>46327</v>
      </c>
      <c r="O13" s="38"/>
      <c r="P13" s="38"/>
      <c r="Q13" s="38"/>
      <c r="R13" s="38"/>
      <c r="S13" s="38"/>
      <c r="T13" s="38"/>
      <c r="U13" s="38"/>
      <c r="V13" s="236"/>
    </row>
    <row r="14" ht="22.5" customHeight="1">
      <c r="A14" s="227"/>
      <c r="B14" s="135"/>
      <c r="C14" s="228"/>
      <c r="D14" s="228"/>
      <c r="E14" s="228"/>
      <c r="F14" s="141"/>
      <c r="G14" s="141"/>
      <c r="H14" s="84"/>
      <c r="I14" s="84"/>
      <c r="J14" s="140"/>
      <c r="K14" s="141"/>
      <c r="L14" s="84"/>
      <c r="M14" s="143"/>
      <c r="N14" s="229">
        <v>46357</v>
      </c>
      <c r="O14" s="135"/>
      <c r="P14" s="135"/>
      <c r="Q14" s="135"/>
      <c r="R14" s="135"/>
      <c r="S14" s="135"/>
      <c r="T14" s="135"/>
      <c r="U14" s="135"/>
      <c r="V14" s="237"/>
    </row>
    <row r="15" ht="22.5" customHeight="1">
      <c r="A15" s="227"/>
      <c r="B15" s="38"/>
      <c r="C15" s="235"/>
      <c r="D15" s="235"/>
      <c r="E15" s="235"/>
      <c r="F15" s="44"/>
      <c r="G15" s="44"/>
      <c r="H15" s="86"/>
      <c r="I15" s="86"/>
      <c r="J15" s="43"/>
      <c r="K15" s="44"/>
      <c r="L15" s="86"/>
      <c r="M15" s="45"/>
      <c r="N15" s="221">
        <v>46388</v>
      </c>
      <c r="O15" s="38"/>
      <c r="P15" s="38"/>
      <c r="Q15" s="38"/>
      <c r="R15" s="38"/>
      <c r="S15" s="38"/>
      <c r="T15" s="38"/>
      <c r="U15" s="38"/>
      <c r="V15" s="236"/>
    </row>
    <row r="16" ht="22.5" customHeight="1">
      <c r="A16" s="227"/>
      <c r="B16" s="135"/>
      <c r="C16" s="228"/>
      <c r="D16" s="228"/>
      <c r="E16" s="228"/>
      <c r="F16" s="141"/>
      <c r="G16" s="141"/>
      <c r="H16" s="84"/>
      <c r="I16" s="84"/>
      <c r="J16" s="140"/>
      <c r="K16" s="141"/>
      <c r="L16" s="84"/>
      <c r="M16" s="143"/>
      <c r="N16" s="229">
        <v>46419</v>
      </c>
      <c r="O16" s="135"/>
      <c r="P16" s="135"/>
      <c r="Q16" s="135"/>
      <c r="R16" s="135"/>
      <c r="S16" s="135"/>
      <c r="T16" s="135"/>
      <c r="U16" s="135"/>
      <c r="V16" s="237"/>
    </row>
    <row r="17" ht="22.5" customHeight="1">
      <c r="A17" s="227"/>
      <c r="B17" s="38"/>
      <c r="C17" s="235"/>
      <c r="D17" s="235"/>
      <c r="E17" s="235"/>
      <c r="F17" s="44"/>
      <c r="G17" s="44"/>
      <c r="H17" s="86"/>
      <c r="I17" s="86"/>
      <c r="J17" s="43"/>
      <c r="K17" s="44"/>
      <c r="L17" s="86"/>
      <c r="M17" s="45"/>
      <c r="N17" s="221">
        <v>46447</v>
      </c>
      <c r="O17" s="38"/>
      <c r="P17" s="38"/>
      <c r="Q17" s="38"/>
      <c r="R17" s="38"/>
      <c r="S17" s="38"/>
      <c r="T17" s="38"/>
      <c r="U17" s="38"/>
      <c r="V17" s="236"/>
    </row>
    <row r="18" ht="22.5" customHeight="1">
      <c r="A18" s="227"/>
      <c r="B18" s="135"/>
      <c r="C18" s="228"/>
      <c r="D18" s="228"/>
      <c r="E18" s="228"/>
      <c r="F18" s="141"/>
      <c r="G18" s="141"/>
      <c r="H18" s="84"/>
      <c r="I18" s="84"/>
      <c r="J18" s="140"/>
      <c r="K18" s="141"/>
      <c r="L18" s="84"/>
      <c r="M18" s="143"/>
      <c r="N18" s="229">
        <v>46478</v>
      </c>
      <c r="O18" s="135"/>
      <c r="P18" s="135"/>
      <c r="Q18" s="135"/>
      <c r="R18" s="135"/>
      <c r="S18" s="135"/>
      <c r="T18" s="135"/>
      <c r="U18" s="135"/>
      <c r="V18" s="237"/>
    </row>
    <row r="19" ht="22.5" customHeight="1">
      <c r="A19" s="227"/>
      <c r="B19" s="38"/>
      <c r="C19" s="235"/>
      <c r="D19" s="235"/>
      <c r="E19" s="235"/>
      <c r="F19" s="44"/>
      <c r="G19" s="44"/>
      <c r="H19" s="86"/>
      <c r="I19" s="86"/>
      <c r="J19" s="43"/>
      <c r="K19" s="44"/>
      <c r="L19" s="86"/>
      <c r="M19" s="45"/>
      <c r="N19" s="221">
        <v>46508</v>
      </c>
      <c r="O19" s="38"/>
      <c r="P19" s="38"/>
      <c r="Q19" s="38"/>
      <c r="R19" s="38"/>
      <c r="S19" s="38"/>
      <c r="T19" s="38"/>
      <c r="U19" s="38"/>
      <c r="V19" s="236"/>
    </row>
    <row r="20" ht="22.5" customHeight="1">
      <c r="A20" s="227"/>
      <c r="B20" s="135"/>
      <c r="C20" s="228"/>
      <c r="D20" s="228"/>
      <c r="E20" s="228"/>
      <c r="F20" s="141"/>
      <c r="G20" s="141"/>
      <c r="H20" s="84"/>
      <c r="I20" s="84"/>
      <c r="J20" s="140"/>
      <c r="K20" s="141"/>
      <c r="L20" s="84"/>
      <c r="M20" s="143"/>
      <c r="N20" s="229">
        <v>46539</v>
      </c>
      <c r="O20" s="135"/>
      <c r="P20" s="135"/>
      <c r="Q20" s="135"/>
      <c r="R20" s="135"/>
      <c r="S20" s="135"/>
      <c r="T20" s="135"/>
      <c r="U20" s="135"/>
      <c r="V20" s="237"/>
    </row>
    <row r="21" ht="22.5" customHeight="1">
      <c r="A21" s="227"/>
      <c r="B21" s="38"/>
      <c r="C21" s="235"/>
      <c r="D21" s="235"/>
      <c r="E21" s="235"/>
      <c r="F21" s="44"/>
      <c r="G21" s="44"/>
      <c r="H21" s="86"/>
      <c r="I21" s="86"/>
      <c r="J21" s="43"/>
      <c r="K21" s="44"/>
      <c r="L21" s="86"/>
      <c r="M21" s="45"/>
      <c r="N21" s="221">
        <v>46569</v>
      </c>
      <c r="O21" s="38"/>
      <c r="P21" s="38"/>
      <c r="Q21" s="38"/>
      <c r="R21" s="38"/>
      <c r="S21" s="38"/>
      <c r="T21" s="38"/>
      <c r="U21" s="38"/>
      <c r="V21" s="236"/>
    </row>
    <row r="22" ht="22.5" customHeight="1">
      <c r="A22" s="227"/>
      <c r="B22" s="135"/>
      <c r="C22" s="228"/>
      <c r="D22" s="228"/>
      <c r="E22" s="228"/>
      <c r="F22" s="141"/>
      <c r="G22" s="141"/>
      <c r="H22" s="84"/>
      <c r="I22" s="84"/>
      <c r="J22" s="140"/>
      <c r="K22" s="141"/>
      <c r="L22" s="84"/>
      <c r="M22" s="143"/>
      <c r="N22" s="229">
        <v>46600</v>
      </c>
      <c r="O22" s="135"/>
      <c r="P22" s="135"/>
      <c r="Q22" s="135"/>
      <c r="R22" s="135"/>
      <c r="S22" s="135"/>
      <c r="T22" s="135"/>
      <c r="U22" s="135"/>
      <c r="V22" s="237"/>
    </row>
    <row r="23" ht="22.5" customHeight="1">
      <c r="A23" s="227"/>
      <c r="B23" s="38"/>
      <c r="C23" s="235"/>
      <c r="D23" s="235"/>
      <c r="E23" s="235"/>
      <c r="F23" s="44"/>
      <c r="G23" s="44"/>
      <c r="H23" s="86"/>
      <c r="I23" s="86"/>
      <c r="J23" s="43"/>
      <c r="K23" s="44"/>
      <c r="L23" s="86"/>
      <c r="M23" s="45"/>
      <c r="N23" s="221">
        <v>46631</v>
      </c>
      <c r="O23" s="38"/>
      <c r="P23" s="38"/>
      <c r="Q23" s="38"/>
      <c r="R23" s="38"/>
      <c r="S23" s="38"/>
      <c r="T23" s="38"/>
      <c r="U23" s="38"/>
      <c r="V23" s="236"/>
    </row>
    <row r="24" ht="22.5" customHeight="1">
      <c r="A24" s="227"/>
      <c r="B24" s="135"/>
      <c r="C24" s="228"/>
      <c r="D24" s="228"/>
      <c r="E24" s="228"/>
      <c r="F24" s="141"/>
      <c r="G24" s="141"/>
      <c r="H24" s="84"/>
      <c r="I24" s="84"/>
      <c r="J24" s="140"/>
      <c r="K24" s="141"/>
      <c r="L24" s="84"/>
      <c r="M24" s="143"/>
      <c r="N24" s="229">
        <v>46661</v>
      </c>
      <c r="O24" s="135"/>
      <c r="P24" s="135"/>
      <c r="Q24" s="135"/>
      <c r="R24" s="135"/>
      <c r="S24" s="135"/>
      <c r="T24" s="135"/>
      <c r="U24" s="135"/>
      <c r="V24" s="237"/>
    </row>
    <row r="25" ht="22.5" customHeight="1">
      <c r="A25" s="227"/>
      <c r="B25" s="38"/>
      <c r="C25" s="235"/>
      <c r="D25" s="235"/>
      <c r="E25" s="235"/>
      <c r="F25" s="44"/>
      <c r="G25" s="44"/>
      <c r="H25" s="86"/>
      <c r="I25" s="86"/>
      <c r="J25" s="43"/>
      <c r="K25" s="44"/>
      <c r="L25" s="86"/>
      <c r="M25" s="45"/>
      <c r="N25" s="221">
        <v>46692</v>
      </c>
      <c r="O25" s="38"/>
      <c r="P25" s="38"/>
      <c r="Q25" s="38"/>
      <c r="R25" s="38"/>
      <c r="S25" s="38"/>
      <c r="T25" s="38"/>
      <c r="U25" s="38"/>
      <c r="V25" s="236"/>
    </row>
    <row r="26" ht="22.5" customHeight="1">
      <c r="A26" s="227"/>
      <c r="B26" s="135"/>
      <c r="C26" s="228"/>
      <c r="D26" s="228"/>
      <c r="E26" s="228"/>
      <c r="F26" s="141"/>
      <c r="G26" s="141"/>
      <c r="H26" s="84"/>
      <c r="I26" s="84"/>
      <c r="J26" s="140"/>
      <c r="K26" s="141"/>
      <c r="L26" s="84"/>
      <c r="M26" s="143"/>
      <c r="N26" s="229">
        <v>46722</v>
      </c>
      <c r="O26" s="135"/>
      <c r="P26" s="135"/>
      <c r="Q26" s="135"/>
      <c r="R26" s="135"/>
      <c r="S26" s="135"/>
      <c r="T26" s="135"/>
      <c r="U26" s="135"/>
      <c r="V26" s="237"/>
    </row>
    <row r="27" ht="22.75" customHeight="1">
      <c r="A27" s="238"/>
      <c r="B27" s="108"/>
      <c r="C27" s="239"/>
      <c r="D27" s="239"/>
      <c r="E27" s="239"/>
      <c r="F27" s="114"/>
      <c r="G27" s="114"/>
      <c r="H27" s="153"/>
      <c r="I27" s="153"/>
      <c r="J27" s="113"/>
      <c r="K27" s="114"/>
      <c r="L27" s="153"/>
      <c r="M27" s="115"/>
      <c r="N27" s="240">
        <v>46753</v>
      </c>
      <c r="O27" s="108"/>
      <c r="P27" s="108"/>
      <c r="Q27" s="108"/>
      <c r="R27" s="108"/>
      <c r="S27" s="108"/>
      <c r="T27" s="108"/>
      <c r="U27" s="108"/>
      <c r="V27" s="241"/>
    </row>
    <row r="28" ht="22.85" customHeight="1">
      <c r="A28" t="s" s="63">
        <v>46</v>
      </c>
      <c r="B28" s="64"/>
      <c r="C28" s="65"/>
      <c r="D28" s="65"/>
      <c r="E28" s="65"/>
      <c r="F28" s="64"/>
      <c r="G28" s="64"/>
      <c r="H28" s="64"/>
      <c r="I28" s="66" cm="1">
        <f t="array" ref="I28">SUM(I3:I27)</f>
        <v>1000</v>
      </c>
      <c r="J28" s="67"/>
      <c r="K28" s="68" cm="1">
        <f t="array" ref="K28">SUM(K3:K27)</f>
        <v>1000</v>
      </c>
      <c r="L28" s="69" cm="1">
        <f t="array" ref="L28">SUM(L3:L27)</f>
        <v>0</v>
      </c>
      <c r="M28" s="70" cm="1">
        <f t="array" ref="M28">(#REF!-K28)/K28</f>
      </c>
      <c r="N28" s="120"/>
      <c r="O28" s="120"/>
      <c r="P28" s="120" cm="1">
        <f t="array" ref="P28">#REF!+#REF!</f>
      </c>
      <c r="Q28" s="66" cm="1">
        <f t="array" ref="Q28">SUM(Q3:Q27)</f>
        <v>4.11274498572324</v>
      </c>
      <c r="R28" s="74" cm="1">
        <f t="array" ref="R28">SUM(R3:R27)</f>
        <v>4112.744985723240</v>
      </c>
      <c r="S28" s="68" cm="1">
        <f t="array" ref="S28">SUM(S3:S27)</f>
        <v>112.744985723240</v>
      </c>
      <c r="T28" s="242" cm="1">
        <f t="array" ref="T28">SUM(T3:T27)</f>
        <v>0.11274498572324</v>
      </c>
      <c r="U28" s="242" cm="1">
        <f t="array" ref="U28">SUM(U3:U27)</f>
        <v>0.11274498572324</v>
      </c>
      <c r="V28" s="243" cm="1">
        <f t="array" ref="V28">SUM(V3:V27)</f>
        <v>0</v>
      </c>
    </row>
  </sheetData>
  <conditionalFormatting sqref="C3:E3">
    <cfRule type="cellIs" dxfId="120" priority="1" operator="lessThan" stopIfTrue="1">
      <formula>35.87</formula>
    </cfRule>
    <cfRule type="cellIs" dxfId="121" priority="2" operator="lessThan" stopIfTrue="1">
      <formula>31.88</formula>
    </cfRule>
    <cfRule type="cellIs" dxfId="122" priority="3" operator="greaterThan" stopIfTrue="1">
      <formula>43.84</formula>
    </cfRule>
    <cfRule type="cellIs" dxfId="123" priority="4" operator="greaterThan" stopIfTrue="1">
      <formula>48.79</formula>
    </cfRule>
  </conditionalFormatting>
  <conditionalFormatting sqref="F3">
    <cfRule type="cellIs" dxfId="124" priority="1" operator="between" stopIfTrue="1">
      <formula>0.9</formula>
      <formula>0.81</formula>
    </cfRule>
    <cfRule type="cellIs" dxfId="125" priority="2" operator="lessThanOrEqual" stopIfTrue="1">
      <formula>0.8</formula>
    </cfRule>
    <cfRule type="cellIs" dxfId="126" priority="3" operator="between" stopIfTrue="1">
      <formula>1.1</formula>
      <formula>1.19</formula>
    </cfRule>
    <cfRule type="cellIs" dxfId="127" priority="4" operator="greaterThanOrEqual" stopIfTrue="1">
      <formula>1.2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  <legacyDrawing r:id="rId2"/>
</worksheet>
</file>

<file path=xl/worksheets/sheet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11"/>
  <sheetViews>
    <sheetView workbookViewId="0" showGridLines="0" defaultGridColor="1">
      <pane topLeftCell="B1" xSplit="1" ySplit="0" activePane="topRight" state="frozen"/>
    </sheetView>
  </sheetViews>
  <sheetFormatPr defaultColWidth="11.6667" defaultRowHeight="21.65" customHeight="1" outlineLevelRow="0" outlineLevelCol="0"/>
  <cols>
    <col min="1" max="1" width="10.2734" style="244" customWidth="1"/>
    <col min="2" max="2" width="26.3438" style="244" customWidth="1"/>
    <col min="3" max="6" width="28.4922" style="244" customWidth="1"/>
    <col min="7" max="12" width="12.25" style="244" customWidth="1"/>
    <col min="13" max="13" width="11.8047" style="244" customWidth="1"/>
    <col min="14" max="14" width="11.1172" style="244" customWidth="1"/>
    <col min="15" max="15" width="8.75" style="244" customWidth="1"/>
    <col min="16" max="16" hidden="1" width="11.6667" style="244" customWidth="1"/>
    <col min="17" max="17" width="14.6016" style="244" customWidth="1"/>
    <col min="18" max="18" width="12.1328" style="244" customWidth="1"/>
    <col min="19" max="20" hidden="1" width="11.6667" style="244" customWidth="1"/>
    <col min="21" max="16384" width="11.6719" style="244" customWidth="1"/>
  </cols>
  <sheetData>
    <row r="1" ht="22.6" customHeight="1">
      <c r="A1" s="27"/>
      <c r="B1" s="28"/>
      <c r="C1" s="29"/>
      <c r="D1" s="29"/>
      <c r="E1" s="29"/>
      <c r="F1" s="29"/>
      <c r="G1" s="28"/>
      <c r="H1" s="28"/>
      <c r="I1" s="245" cm="1">
        <f t="array" ref="I1">(1+F3)^(1/12)</f>
        <v>1.01105272421763</v>
      </c>
      <c r="J1" s="28"/>
      <c r="K1" s="28"/>
      <c r="L1" s="28"/>
      <c r="M1" s="28"/>
      <c r="N1" s="28"/>
      <c r="O1" s="28"/>
      <c r="P1" s="30"/>
      <c r="Q1" s="28"/>
      <c r="R1" s="31"/>
      <c r="S1" s="246"/>
      <c r="T1" s="246"/>
    </row>
    <row r="2" ht="36.5" customHeight="1">
      <c r="A2" t="s" s="32">
        <v>19</v>
      </c>
      <c r="B2" t="s" s="33">
        <v>20</v>
      </c>
      <c r="C2" t="s" s="34">
        <v>210</v>
      </c>
      <c r="D2" t="s" s="34">
        <v>211</v>
      </c>
      <c r="E2" t="s" s="34">
        <v>228</v>
      </c>
      <c r="F2" t="s" s="34">
        <v>212</v>
      </c>
      <c r="G2" t="s" s="33">
        <v>229</v>
      </c>
      <c r="H2" t="s" s="34">
        <v>213</v>
      </c>
      <c r="I2" t="s" s="33">
        <v>215</v>
      </c>
      <c r="J2" t="s" s="33">
        <v>216</v>
      </c>
      <c r="K2" t="s" s="33">
        <v>230</v>
      </c>
      <c r="L2" t="s" s="33">
        <v>22</v>
      </c>
      <c r="M2" t="s" s="33">
        <v>23</v>
      </c>
      <c r="N2" t="s" s="33">
        <v>10</v>
      </c>
      <c r="O2" t="s" s="33">
        <v>83</v>
      </c>
      <c r="P2" t="s" s="35">
        <v>26</v>
      </c>
      <c r="Q2" t="s" s="33">
        <v>84</v>
      </c>
      <c r="R2" t="s" s="36">
        <v>28</v>
      </c>
      <c r="S2" t="s" s="247">
        <v>29</v>
      </c>
      <c r="T2" t="s" s="247">
        <v>30</v>
      </c>
    </row>
    <row r="3" ht="22.5" customHeight="1">
      <c r="A3" t="s" s="37">
        <v>231</v>
      </c>
      <c r="B3" t="s" s="218">
        <v>232</v>
      </c>
      <c r="C3" s="219">
        <v>46027</v>
      </c>
      <c r="D3" s="219">
        <v>46246</v>
      </c>
      <c r="E3" s="235" cm="1">
        <f t="array" ref="E3">NETWORKDAYS(C3,D3,'CDB - Feriados'!B3:B10)</f>
        <v>154</v>
      </c>
      <c r="F3" s="248">
        <v>0.141</v>
      </c>
      <c r="G3" s="249" cm="1">
        <f t="array" ref="G3">(1+F3)^(E3/252)</f>
        <v>1.0839466158421</v>
      </c>
      <c r="H3" s="250">
        <v>46023</v>
      </c>
      <c r="I3" s="249" cm="1">
        <f t="array" ref="I3">(1+F3)^(20/252)</f>
        <v>1.01052364451898</v>
      </c>
      <c r="J3" s="249" cm="1">
        <f t="array" ref="J3">(1+F3)^(20/252)</f>
        <v>1.01052364451898</v>
      </c>
      <c r="K3" s="44" cm="1">
        <f t="array" ref="K3">M3*J3</f>
        <v>1075.651893408230</v>
      </c>
      <c r="L3" s="44">
        <v>1094.97</v>
      </c>
      <c r="M3" s="44">
        <v>1064.45</v>
      </c>
      <c r="N3" s="190" cm="1">
        <f t="array" ref="N3">(K3-M3)/M3</f>
        <v>0.0105236445189816</v>
      </c>
      <c r="O3" s="42">
        <v>1</v>
      </c>
      <c r="P3" s="43"/>
      <c r="Q3" s="44">
        <v>1064.45</v>
      </c>
      <c r="R3" s="251" cm="1">
        <f t="array" ref="R3">K3-Q3</f>
        <v>11.201893408230</v>
      </c>
      <c r="S3" s="252"/>
      <c r="T3" s="253"/>
    </row>
    <row r="4" ht="22.5" customHeight="1">
      <c r="A4" s="227"/>
      <c r="B4" s="135"/>
      <c r="C4" s="254">
        <v>46053</v>
      </c>
      <c r="D4" s="228"/>
      <c r="E4" s="255"/>
      <c r="F4" s="256"/>
      <c r="G4" s="257"/>
      <c r="H4" s="258">
        <v>46054</v>
      </c>
      <c r="I4" s="257" cm="1">
        <f t="array" ref="I4">I$1</f>
        <v>1.01105272421763</v>
      </c>
      <c r="J4" s="257" cm="1">
        <f t="array" ref="J4">J3*I4</f>
        <v>1.02169268367724</v>
      </c>
      <c r="K4" s="141" cm="1">
        <f t="array" ref="K4">M3*J4</f>
        <v>1087.540777140240</v>
      </c>
      <c r="L4" s="141"/>
      <c r="M4" s="141"/>
      <c r="N4" s="191" cm="1">
        <f t="array" ref="N4">(K4-M3)/M3</f>
        <v>0.0216926836772418</v>
      </c>
      <c r="O4" s="84"/>
      <c r="P4" s="140"/>
      <c r="Q4" s="141"/>
      <c r="R4" s="259" cm="1">
        <f t="array" ref="R4">K4-Q3</f>
        <v>23.090777140240</v>
      </c>
      <c r="S4" s="260"/>
      <c r="T4" s="261"/>
    </row>
    <row r="5" ht="22.5" customHeight="1">
      <c r="A5" s="227"/>
      <c r="B5" s="38"/>
      <c r="C5" s="235"/>
      <c r="D5" s="235"/>
      <c r="E5" s="262"/>
      <c r="F5" s="248"/>
      <c r="G5" s="249"/>
      <c r="H5" s="250">
        <v>46082</v>
      </c>
      <c r="I5" s="249" cm="1">
        <f t="array" ref="I5">I$1</f>
        <v>1.01105272421763</v>
      </c>
      <c r="J5" s="249" cm="1">
        <f t="array" ref="J5">J4*I5</f>
        <v>1.03298517114509</v>
      </c>
      <c r="K5" s="44" cm="1">
        <f t="array" ref="K5">M3*J5</f>
        <v>1099.561065425390</v>
      </c>
      <c r="L5" s="44"/>
      <c r="M5" s="44"/>
      <c r="N5" s="190" cm="1">
        <f t="array" ref="N5">(K5-M3)/M3</f>
        <v>0.032985171145089</v>
      </c>
      <c r="O5" s="86"/>
      <c r="P5" s="43"/>
      <c r="Q5" s="44"/>
      <c r="R5" s="251" cm="1">
        <f t="array" ref="R5">K5-Q3</f>
        <v>35.111065425390</v>
      </c>
      <c r="S5" s="252"/>
      <c r="T5" s="253"/>
    </row>
    <row r="6" ht="22.5" customHeight="1">
      <c r="A6" s="227"/>
      <c r="B6" s="135"/>
      <c r="C6" s="228"/>
      <c r="D6" s="228"/>
      <c r="E6" s="255"/>
      <c r="F6" s="256"/>
      <c r="G6" s="257"/>
      <c r="H6" s="258">
        <v>46113</v>
      </c>
      <c r="I6" s="257" cm="1">
        <f t="array" ref="I6">I$1</f>
        <v>1.01105272421763</v>
      </c>
      <c r="J6" s="257" cm="1">
        <f t="array" ref="J6">J5*I6</f>
        <v>1.04440247136266</v>
      </c>
      <c r="K6" s="141" cm="1">
        <f t="array" ref="K6">M3*J6</f>
        <v>1111.714210641980</v>
      </c>
      <c r="L6" s="141"/>
      <c r="M6" s="141"/>
      <c r="N6" s="191" cm="1">
        <f t="array" ref="N6">(K6-M3)/M3</f>
        <v>0.0444024713626568</v>
      </c>
      <c r="O6" s="84"/>
      <c r="P6" s="140"/>
      <c r="Q6" s="141"/>
      <c r="R6" s="259" cm="1">
        <f t="array" ref="R6">K6-Q3</f>
        <v>47.264210641980</v>
      </c>
      <c r="S6" s="260"/>
      <c r="T6" s="261"/>
    </row>
    <row r="7" ht="22.5" customHeight="1">
      <c r="A7" s="227"/>
      <c r="B7" s="38"/>
      <c r="C7" s="235"/>
      <c r="D7" s="235"/>
      <c r="E7" s="262"/>
      <c r="F7" s="248"/>
      <c r="G7" s="249"/>
      <c r="H7" s="250">
        <v>46143</v>
      </c>
      <c r="I7" s="249" cm="1">
        <f t="array" ref="I7">I$1</f>
        <v>1.01105272421763</v>
      </c>
      <c r="J7" s="249" cm="1">
        <f t="array" ref="J7">J6*I7</f>
        <v>1.05594596385084</v>
      </c>
      <c r="K7" s="44" cm="1">
        <f t="array" ref="K7">M3*J7</f>
        <v>1124.001681221030</v>
      </c>
      <c r="L7" s="44"/>
      <c r="M7" s="44"/>
      <c r="N7" s="190"/>
      <c r="O7" s="86"/>
      <c r="P7" s="43"/>
      <c r="Q7" s="44"/>
      <c r="R7" s="251" cm="1">
        <f t="array" ref="R7">K7-Q3</f>
        <v>59.551681221030</v>
      </c>
      <c r="S7" s="252"/>
      <c r="T7" s="253"/>
    </row>
    <row r="8" ht="22.5" customHeight="1">
      <c r="A8" s="227"/>
      <c r="B8" s="135"/>
      <c r="C8" s="228"/>
      <c r="D8" s="228"/>
      <c r="E8" s="255"/>
      <c r="F8" s="256"/>
      <c r="G8" s="257"/>
      <c r="H8" s="258">
        <v>46174</v>
      </c>
      <c r="I8" s="257" cm="1">
        <f t="array" ref="I8">I$1</f>
        <v>1.01105272421763</v>
      </c>
      <c r="J8" s="257" cm="1">
        <f t="array" ref="J8">J7*I8</f>
        <v>1.067617043378</v>
      </c>
      <c r="K8" s="141" cm="1">
        <f t="array" ref="K8">M3*J8</f>
        <v>1136.424961823710</v>
      </c>
      <c r="L8" s="141"/>
      <c r="M8" s="141"/>
      <c r="N8" s="191"/>
      <c r="O8" s="84"/>
      <c r="P8" s="140"/>
      <c r="Q8" s="141"/>
      <c r="R8" s="259" cm="1">
        <f t="array" ref="R8">K8-Q3</f>
        <v>71.974961823710</v>
      </c>
      <c r="S8" s="260"/>
      <c r="T8" s="261"/>
    </row>
    <row r="9" ht="22.5" customHeight="1">
      <c r="A9" s="227"/>
      <c r="B9" s="38"/>
      <c r="C9" s="235"/>
      <c r="D9" s="235"/>
      <c r="E9" s="262"/>
      <c r="F9" s="248"/>
      <c r="G9" s="249"/>
      <c r="H9" s="250">
        <v>46204</v>
      </c>
      <c r="I9" s="249" cm="1">
        <f t="array" ref="I9">I$1</f>
        <v>1.01105272421763</v>
      </c>
      <c r="J9" s="249" cm="1">
        <f t="array" ref="J9">J8*I9</f>
        <v>1.0794171201285</v>
      </c>
      <c r="K9" s="44" cm="1">
        <f t="array" ref="K9">M3*J9</f>
        <v>1148.985553520780</v>
      </c>
      <c r="L9" s="44"/>
      <c r="M9" s="44"/>
      <c r="N9" s="190"/>
      <c r="O9" s="86"/>
      <c r="P9" s="43"/>
      <c r="Q9" s="44"/>
      <c r="R9" s="251" cm="1">
        <f t="array" ref="R9">K9-Q3</f>
        <v>84.535553520780</v>
      </c>
      <c r="S9" s="252"/>
      <c r="T9" s="253"/>
    </row>
    <row r="10" ht="22.75" customHeight="1">
      <c r="A10" s="238"/>
      <c r="B10" s="49"/>
      <c r="C10" s="263"/>
      <c r="D10" s="263"/>
      <c r="E10" s="264"/>
      <c r="F10" s="265"/>
      <c r="G10" s="266"/>
      <c r="H10" s="267">
        <v>46235</v>
      </c>
      <c r="I10" s="266" cm="1">
        <f t="array" ref="I10">(1+F3)^(8/252)</f>
        <v>1.00419624223957</v>
      </c>
      <c r="J10" s="266" cm="1">
        <f t="array" ref="J10">J9*I10</f>
        <v>1.0839466158421</v>
      </c>
      <c r="K10" s="56" cm="1">
        <f t="array" ref="K10">M3*J10</f>
        <v>1153.806975233120</v>
      </c>
      <c r="L10" s="56"/>
      <c r="M10" s="56"/>
      <c r="N10" s="268"/>
      <c r="O10" s="269"/>
      <c r="P10" s="55"/>
      <c r="Q10" s="56"/>
      <c r="R10" s="270" cm="1">
        <f t="array" ref="R10">K10-Q3</f>
        <v>89.356975233120</v>
      </c>
      <c r="S10" s="271"/>
      <c r="T10" s="272"/>
    </row>
    <row r="11" ht="22.85" customHeight="1">
      <c r="A11" t="s" s="63">
        <v>46</v>
      </c>
      <c r="B11" s="64"/>
      <c r="C11" s="65"/>
      <c r="D11" s="65"/>
      <c r="E11" s="65"/>
      <c r="F11" s="65"/>
      <c r="G11" s="64"/>
      <c r="H11" s="64"/>
      <c r="I11" s="64"/>
      <c r="J11" s="64"/>
      <c r="K11" s="64"/>
      <c r="L11" s="64"/>
      <c r="M11" s="64"/>
      <c r="N11" s="64"/>
      <c r="O11" s="66" cm="1">
        <f t="array" ref="O11">SUM(O3:O10)</f>
        <v>1</v>
      </c>
      <c r="P11" s="67"/>
      <c r="Q11" s="68" cm="1">
        <f t="array" ref="Q11">SUM(Q3:Q10)</f>
        <v>1064.45</v>
      </c>
      <c r="R11" s="273"/>
      <c r="S11" s="274" cm="1">
        <f t="array" ref="S11">SUM(S3:S10)</f>
        <v>0</v>
      </c>
      <c r="T11" s="275" cm="1">
        <f t="array" ref="T11">(#REF!-Q11)/Q11</f>
      </c>
    </row>
  </sheetData>
  <conditionalFormatting sqref="C3:D3">
    <cfRule type="cellIs" dxfId="128" priority="1" operator="lessThan" stopIfTrue="1">
      <formula>35.87</formula>
    </cfRule>
    <cfRule type="cellIs" dxfId="129" priority="2" operator="lessThan" stopIfTrue="1">
      <formula>31.88</formula>
    </cfRule>
    <cfRule type="cellIs" dxfId="130" priority="3" operator="greaterThan" stopIfTrue="1">
      <formula>43.84</formula>
    </cfRule>
    <cfRule type="cellIs" dxfId="131" priority="4" operator="greaterThan" stopIfTrue="1">
      <formula>48.79</formula>
    </cfRule>
  </conditionalFormatting>
  <conditionalFormatting sqref="L3">
    <cfRule type="cellIs" dxfId="132" priority="1" operator="between" stopIfTrue="1">
      <formula>958</formula>
      <formula>851.55</formula>
    </cfRule>
    <cfRule type="cellIs" dxfId="133" priority="2" operator="lessThanOrEqual" stopIfTrue="1">
      <formula>851.56</formula>
    </cfRule>
    <cfRule type="cellIs" dxfId="134" priority="3" operator="between" stopIfTrue="1">
      <formula>1170.89</formula>
      <formula>1277.33</formula>
    </cfRule>
    <cfRule type="cellIs" dxfId="135" priority="4" operator="greaterThanOrEqual" stopIfTrue="1">
      <formula>1277.34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  <legacyDrawing r:id="rId2"/>
</worksheet>
</file>

<file path=xl/worksheets/sheet4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65" customHeight="1" outlineLevelRow="0" outlineLevelCol="0"/>
  <cols>
    <col min="1" max="1" width="23.0234" style="276" customWidth="1"/>
    <col min="2" max="5" width="16.3516" style="276" customWidth="1"/>
    <col min="6" max="16384" width="16.3516" style="276" customWidth="1"/>
  </cols>
  <sheetData>
    <row r="1" ht="30" customHeight="1">
      <c r="A1" t="s" s="17">
        <v>233</v>
      </c>
      <c r="B1" s="17"/>
      <c r="C1" s="17"/>
      <c r="D1" s="17"/>
      <c r="E1" s="17"/>
    </row>
    <row r="2" ht="22.85" customHeight="1">
      <c r="A2" s="77"/>
      <c r="B2" s="78"/>
      <c r="C2" s="78"/>
      <c r="D2" s="78"/>
      <c r="E2" s="79"/>
    </row>
    <row r="3" ht="22.75" customHeight="1">
      <c r="A3" s="80"/>
      <c r="B3" s="81"/>
      <c r="C3" s="81"/>
      <c r="D3" s="81"/>
      <c r="E3" s="82"/>
    </row>
    <row r="4" ht="22.5" customHeight="1">
      <c r="A4" t="s" s="101">
        <v>235</v>
      </c>
      <c r="B4" s="178">
        <v>46023</v>
      </c>
      <c r="C4" s="84"/>
      <c r="D4" s="84"/>
      <c r="E4" s="85"/>
    </row>
    <row r="5" ht="22.5" customHeight="1">
      <c r="A5" t="s" s="101">
        <v>236</v>
      </c>
      <c r="B5" t="s" s="171">
        <v>237</v>
      </c>
      <c r="C5" s="86"/>
      <c r="D5" s="86"/>
      <c r="E5" s="87"/>
    </row>
    <row r="6" ht="22.5" customHeight="1">
      <c r="A6" t="s" s="101">
        <v>236</v>
      </c>
      <c r="B6" t="s" s="178">
        <v>238</v>
      </c>
      <c r="C6" s="84"/>
      <c r="D6" s="84"/>
      <c r="E6" s="85"/>
    </row>
    <row r="7" ht="22.5" customHeight="1">
      <c r="A7" t="s" s="101">
        <v>239</v>
      </c>
      <c r="B7" s="171">
        <v>46115</v>
      </c>
      <c r="C7" s="86"/>
      <c r="D7" s="86"/>
      <c r="E7" s="87"/>
    </row>
    <row r="8" ht="22.5" customHeight="1">
      <c r="A8" t="s" s="101">
        <v>240</v>
      </c>
      <c r="B8" s="178">
        <v>46133</v>
      </c>
      <c r="C8" s="84"/>
      <c r="D8" s="84"/>
      <c r="E8" s="85"/>
    </row>
    <row r="9" ht="22.5" customHeight="1">
      <c r="A9" t="s" s="101">
        <v>241</v>
      </c>
      <c r="B9" s="171">
        <v>46143</v>
      </c>
      <c r="C9" s="86"/>
      <c r="D9" s="86"/>
      <c r="E9" s="87"/>
    </row>
    <row r="10" ht="22.6" customHeight="1">
      <c r="A10" t="s" s="180">
        <v>242</v>
      </c>
      <c r="B10" s="277">
        <v>46177</v>
      </c>
      <c r="C10" s="278"/>
      <c r="D10" s="278"/>
      <c r="E10" s="279"/>
    </row>
  </sheetData>
  <mergeCells count="1">
    <mergeCell ref="A1:E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4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65" customHeight="1" outlineLevelRow="0" outlineLevelCol="0"/>
  <cols>
    <col min="1" max="5" width="16.3516" style="280" customWidth="1"/>
    <col min="6" max="16384" width="16.3516" style="280" customWidth="1"/>
  </cols>
  <sheetData>
    <row r="1" ht="30" customHeight="1">
      <c r="A1" t="s" s="17">
        <v>47</v>
      </c>
      <c r="B1" s="17"/>
      <c r="C1" s="17"/>
      <c r="D1" s="17"/>
      <c r="E1" s="17"/>
    </row>
    <row r="2" ht="22.85" customHeight="1">
      <c r="A2" s="77"/>
      <c r="B2" s="78"/>
      <c r="C2" s="78"/>
      <c r="D2" s="78"/>
      <c r="E2" s="79"/>
    </row>
    <row r="3" ht="22.75" customHeight="1">
      <c r="A3" s="80"/>
      <c r="B3" s="81"/>
      <c r="C3" s="81"/>
      <c r="D3" s="81"/>
      <c r="E3" s="82"/>
    </row>
    <row r="4" ht="22.5" customHeight="1">
      <c r="A4" s="83"/>
      <c r="B4" s="84"/>
      <c r="C4" s="84"/>
      <c r="D4" s="84"/>
      <c r="E4" s="85"/>
    </row>
    <row r="5" ht="22.5" customHeight="1">
      <c r="A5" s="83"/>
      <c r="B5" s="86"/>
      <c r="C5" s="86"/>
      <c r="D5" s="86"/>
      <c r="E5" s="87"/>
    </row>
    <row r="6" ht="22.5" customHeight="1">
      <c r="A6" s="83"/>
      <c r="B6" s="84"/>
      <c r="C6" s="84"/>
      <c r="D6" s="84"/>
      <c r="E6" s="85"/>
    </row>
    <row r="7" ht="22.5" customHeight="1">
      <c r="A7" s="83"/>
      <c r="B7" s="86"/>
      <c r="C7" s="86"/>
      <c r="D7" s="86"/>
      <c r="E7" s="87"/>
    </row>
    <row r="8" ht="22.5" customHeight="1">
      <c r="A8" s="83"/>
      <c r="B8" s="84"/>
      <c r="C8" s="84"/>
      <c r="D8" s="84"/>
      <c r="E8" s="85"/>
    </row>
    <row r="9" ht="22.5" customHeight="1">
      <c r="A9" s="83"/>
      <c r="B9" s="86"/>
      <c r="C9" s="86"/>
      <c r="D9" s="86"/>
      <c r="E9" s="87"/>
    </row>
    <row r="10" ht="22.5" customHeight="1">
      <c r="A10" s="83"/>
      <c r="B10" s="84"/>
      <c r="C10" s="84"/>
      <c r="D10" s="84"/>
      <c r="E10" s="85"/>
    </row>
    <row r="11" ht="22.6" customHeight="1">
      <c r="A11" s="88"/>
      <c r="B11" s="89"/>
      <c r="C11" s="89"/>
      <c r="D11" s="89"/>
      <c r="E11" s="90"/>
    </row>
  </sheetData>
  <mergeCells count="1">
    <mergeCell ref="A1:E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45.xml><?xml version="1.0" encoding="utf-8"?>
<worksheet xmlns:r="http://schemas.openxmlformats.org/officeDocument/2006/relationships" xmlns="http://schemas.openxmlformats.org/spreadsheetml/2006/main">
  <sheetPr>
    <pageSetUpPr fitToPage="1"/>
  </sheetPr>
  <dimension ref="A2"/>
  <sheetViews>
    <sheetView workbookViewId="0" showGridLines="0" defaultGridColor="1"/>
  </sheetViews>
  <sheetFormatPr defaultColWidth="16.3333" defaultRowHeight="21.65" customHeight="1" outlineLevelRow="0" outlineLevelCol="0"/>
  <cols>
    <col min="1" max="1" width="16.3516" style="281" customWidth="1"/>
    <col min="2" max="16384" width="16.3516" style="281" customWidth="1"/>
  </cols>
  <sheetData>
    <row r="1" ht="30" customHeight="1">
      <c r="A1" t="s" s="17">
        <v>120</v>
      </c>
    </row>
    <row r="2" ht="22.75" customHeight="1">
      <c r="A2" s="161">
        <v>12</v>
      </c>
    </row>
  </sheetData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4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style="282" customWidth="1"/>
  </cols>
  <sheetData/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</worksheet>
</file>

<file path=xl/worksheets/sheet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3"/>
  <sheetViews>
    <sheetView workbookViewId="0" showGridLines="0" defaultGridColor="1"/>
  </sheetViews>
  <sheetFormatPr defaultColWidth="26.2615" defaultRowHeight="21.65" customHeight="1" outlineLevelRow="0" outlineLevelCol="0"/>
  <cols>
    <col min="1" max="1" width="26.2656" style="283" customWidth="1"/>
    <col min="2" max="2" width="28" style="283" customWidth="1"/>
    <col min="3" max="3" width="3.35156" style="283" customWidth="1"/>
    <col min="4" max="16384" width="26.2656" style="283" customWidth="1"/>
  </cols>
  <sheetData>
    <row r="1" ht="80" customHeight="1">
      <c r="A1" t="s" s="7">
        <v>196</v>
      </c>
      <c r="B1" s="284" cm="1">
        <f t="array" ref="B1">'CRI_CRA - Meu Portfólio'!K3+#REF!+#REF!+#REF!</f>
      </c>
      <c r="C1" s="9"/>
    </row>
    <row r="2" ht="64" customHeight="1">
      <c r="A2" t="s" s="10">
        <v>248</v>
      </c>
      <c r="B2" s="11" cm="1">
        <f t="array" ref="B2">'CRI_CRA - Meu Portfólio'!S18-'CRI_CRA - Meu Portfólio'!T18</f>
        <v>4392.57</v>
      </c>
      <c r="C2" t="str" s="12" cm="1">
        <f t="array" ref="C2">IF(B2&gt;0,"↑",IF(B2&lt;0,"↓","–"))</f>
        <v>↑</v>
      </c>
    </row>
    <row r="3" ht="64" customHeight="1">
      <c r="A3" t="s" s="13">
        <v>10</v>
      </c>
      <c r="B3" s="14" cm="1">
        <f t="array" ref="B3">'CRI_CRA - Meu Portfólio'!V$18</f>
      </c>
      <c r="C3" s="15" cm="1">
        <f t="array" ref="C3">IF(B3="–","–",IF(B3&gt;0,"↑",IF(B3&lt;0,"↓","–")))</f>
      </c>
    </row>
  </sheetData>
  <mergeCells count="1">
    <mergeCell ref="B1:C1"/>
  </mergeCells>
  <conditionalFormatting sqref="B2:B3">
    <cfRule type="cellIs" dxfId="136" priority="1" operator="greaterThan" stopIfTrue="1">
      <formula>0</formula>
    </cfRule>
    <cfRule type="cellIs" dxfId="137" priority="2" operator="lessThan" stopIfTrue="1">
      <formula>0</formula>
    </cfRule>
  </conditionalFormatting>
  <conditionalFormatting sqref="C2:C3">
    <cfRule type="cellIs" dxfId="138" priority="1" operator="equal" stopIfTrue="1">
      <formula>"↑"</formula>
    </cfRule>
    <cfRule type="cellIs" dxfId="139" priority="2" operator="equal" stopIfTrue="1">
      <formula>"↓"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4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5"/>
  <sheetViews>
    <sheetView workbookViewId="0" showGridLines="0" defaultGridColor="1"/>
  </sheetViews>
  <sheetFormatPr defaultColWidth="16.3333" defaultRowHeight="21.65" customHeight="1" outlineLevelRow="0" outlineLevelCol="0"/>
  <cols>
    <col min="1" max="1" width="16.3516" style="285" customWidth="1"/>
    <col min="2" max="2" width="43.4297" style="285" customWidth="1"/>
    <col min="3" max="16384" width="16.3516" style="285" customWidth="1"/>
  </cols>
  <sheetData>
    <row r="1" ht="30" customHeight="1">
      <c r="A1" t="s" s="17">
        <v>11</v>
      </c>
      <c r="B1" s="17"/>
    </row>
    <row r="2" ht="22.6" customHeight="1">
      <c r="A2" s="18"/>
      <c r="B2" t="s" s="19">
        <v>13</v>
      </c>
    </row>
    <row r="3" ht="22.5" customHeight="1">
      <c r="A3" s="20"/>
      <c r="B3" t="s" s="21">
        <v>79</v>
      </c>
    </row>
    <row r="4" ht="22.5" customHeight="1">
      <c r="A4" s="22"/>
      <c r="B4" t="s" s="23">
        <v>15</v>
      </c>
    </row>
    <row r="5" ht="22.6" customHeight="1">
      <c r="A5" s="24"/>
      <c r="B5" t="s" s="25">
        <v>16</v>
      </c>
    </row>
  </sheetData>
  <mergeCells count="1">
    <mergeCell ref="A1:B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18"/>
  <sheetViews>
    <sheetView workbookViewId="0" showGridLines="0" defaultGridColor="1">
      <pane topLeftCell="B1" xSplit="1" ySplit="0" activePane="topRight" state="frozen"/>
    </sheetView>
  </sheetViews>
  <sheetFormatPr defaultColWidth="11.6667" defaultRowHeight="21.65" customHeight="1" outlineLevelRow="0" outlineLevelCol="0"/>
  <cols>
    <col min="1" max="1" width="10.2734" style="286" customWidth="1"/>
    <col min="2" max="2" width="26.3438" style="286" customWidth="1"/>
    <col min="3" max="5" width="28.4922" style="286" customWidth="1"/>
    <col min="6" max="11" width="12.25" style="286" customWidth="1"/>
    <col min="12" max="12" width="11.8047" style="286" customWidth="1"/>
    <col min="13" max="13" width="12.1328" style="286" customWidth="1"/>
    <col min="14" max="14" width="11.1172" style="286" customWidth="1"/>
    <col min="15" max="15" width="8.75" style="286" customWidth="1"/>
    <col min="16" max="16" hidden="1" width="11.6667" style="286" customWidth="1"/>
    <col min="17" max="18" width="14.6016" style="286" customWidth="1"/>
    <col min="19" max="19" width="12.1328" style="286" customWidth="1"/>
    <col min="20" max="21" hidden="1" width="11.6667" style="286" customWidth="1"/>
    <col min="22" max="24" width="12.1328" style="286" customWidth="1"/>
    <col min="25" max="16384" width="11.6719" style="286" customWidth="1"/>
  </cols>
  <sheetData>
    <row r="1" ht="22.6" customHeight="1">
      <c r="A1" s="27"/>
      <c r="B1" s="28"/>
      <c r="C1" s="29"/>
      <c r="D1" s="29"/>
      <c r="E1" s="29"/>
      <c r="F1" s="28"/>
      <c r="G1" s="28"/>
      <c r="H1" s="28"/>
      <c r="I1" s="28"/>
      <c r="J1" s="28"/>
      <c r="K1" s="28"/>
      <c r="L1" s="28"/>
      <c r="M1" s="28"/>
      <c r="N1" s="28"/>
      <c r="O1" s="28"/>
      <c r="P1" s="30"/>
      <c r="Q1" s="28"/>
      <c r="R1" s="28"/>
      <c r="S1" s="28"/>
      <c r="T1" s="28"/>
      <c r="U1" s="28"/>
      <c r="V1" s="28"/>
      <c r="W1" s="28"/>
      <c r="X1" s="31"/>
    </row>
    <row r="2" ht="50.5" customHeight="1">
      <c r="A2" t="s" s="32">
        <v>19</v>
      </c>
      <c r="B2" t="s" s="33">
        <v>20</v>
      </c>
      <c r="C2" t="s" s="34">
        <v>210</v>
      </c>
      <c r="D2" t="s" s="34">
        <v>251</v>
      </c>
      <c r="E2" t="s" s="34">
        <v>252</v>
      </c>
      <c r="F2" t="s" s="33">
        <v>213</v>
      </c>
      <c r="G2" t="s" s="33">
        <v>253</v>
      </c>
      <c r="H2" t="s" s="33">
        <v>254</v>
      </c>
      <c r="I2" t="s" s="33">
        <v>255</v>
      </c>
      <c r="J2" t="s" s="33">
        <v>256</v>
      </c>
      <c r="K2" t="s" s="33">
        <v>22</v>
      </c>
      <c r="L2" t="s" s="33">
        <v>23</v>
      </c>
      <c r="M2" t="s" s="34">
        <v>24</v>
      </c>
      <c r="N2" t="s" s="33">
        <v>10</v>
      </c>
      <c r="O2" t="s" s="33">
        <v>83</v>
      </c>
      <c r="P2" t="s" s="35">
        <v>26</v>
      </c>
      <c r="Q2" t="s" s="33">
        <v>84</v>
      </c>
      <c r="R2" t="s" s="33">
        <v>7</v>
      </c>
      <c r="S2" t="s" s="33">
        <v>28</v>
      </c>
      <c r="T2" t="s" s="33">
        <v>29</v>
      </c>
      <c r="U2" t="s" s="33">
        <v>30</v>
      </c>
      <c r="V2" s="33"/>
      <c r="W2" t="s" s="33">
        <v>38</v>
      </c>
      <c r="X2" t="s" s="36">
        <v>39</v>
      </c>
    </row>
    <row r="3" ht="22.5" customHeight="1">
      <c r="A3" t="s" s="37">
        <v>257</v>
      </c>
      <c r="B3" t="s" s="218">
        <v>258</v>
      </c>
      <c r="C3" s="287">
        <v>44858</v>
      </c>
      <c r="D3" s="219">
        <v>47284</v>
      </c>
      <c r="E3" t="s" s="128">
        <v>259</v>
      </c>
      <c r="F3" t="s" s="250">
        <v>260</v>
      </c>
      <c r="G3" s="41">
        <v>0.0059</v>
      </c>
      <c r="H3" s="249" cm="1">
        <f t="array" ref="H3">1+G3</f>
        <v>1.0059</v>
      </c>
      <c r="I3" s="249" cm="1">
        <f t="array" ref="I3">1+G3</f>
        <v>1.0059</v>
      </c>
      <c r="J3" s="249" cm="1">
        <f t="array" ref="J3">(1+0.0934)^(6/252)</f>
        <v>1.00212826410486</v>
      </c>
      <c r="K3" s="44">
        <v>1141.28</v>
      </c>
      <c r="L3" s="44">
        <v>1028.65</v>
      </c>
      <c r="M3" s="44" cm="1">
        <f t="array" ref="M3">K3-L3</f>
        <v>112.63</v>
      </c>
      <c r="N3" s="190" cm="1">
        <f t="array" ref="N3">(K3-L3)/L3</f>
        <v>0.10949302483838</v>
      </c>
      <c r="O3" s="42">
        <v>39</v>
      </c>
      <c r="P3" s="43">
        <v>0.20426506</v>
      </c>
      <c r="Q3" s="44">
        <v>40117.35</v>
      </c>
      <c r="R3" s="130">
        <v>44509.92</v>
      </c>
      <c r="S3" s="44" cm="1">
        <f t="array" ref="S3">_xlfn.IFERROR(R3-Q3,"–")</f>
        <v>4392.57</v>
      </c>
      <c r="T3" s="44">
        <v>0</v>
      </c>
      <c r="U3" s="45" cm="1">
        <f t="array" ref="U3">_xlfn.IFERROR((R3-Q3)/Q3,"–")</f>
        <v>0.10949302483838</v>
      </c>
      <c r="V3" s="38"/>
      <c r="W3" s="132">
        <v>312.51</v>
      </c>
      <c r="X3" s="134">
        <v>519.1</v>
      </c>
    </row>
    <row r="4" ht="22.5" customHeight="1">
      <c r="A4" s="227"/>
      <c r="B4" s="135"/>
      <c r="C4" s="254">
        <v>44866</v>
      </c>
      <c r="D4" s="288">
        <v>44895</v>
      </c>
      <c r="E4" s="228"/>
      <c r="F4" t="s" s="258">
        <v>261</v>
      </c>
      <c r="G4" s="138">
        <v>0.0041</v>
      </c>
      <c r="H4" s="257" cm="1">
        <f t="array" ref="H4">1+G4</f>
        <v>1.0041</v>
      </c>
      <c r="I4" s="257" cm="1">
        <f t="array" ref="I4">I3*H4</f>
        <v>1.01002419</v>
      </c>
      <c r="J4" s="257" cm="1">
        <f t="array" ref="J4">(1+0.0934)^(NETWORKDAYS(C4,D4,'CRI_CRA - Feriado'!B3:B11)/252)</f>
        <v>1.00711184510125</v>
      </c>
      <c r="K4" s="141"/>
      <c r="L4" s="141"/>
      <c r="M4" s="84"/>
      <c r="N4" s="191"/>
      <c r="O4" s="84"/>
      <c r="P4" s="140"/>
      <c r="Q4" s="141"/>
      <c r="R4" s="142"/>
      <c r="S4" s="141"/>
      <c r="T4" s="84"/>
      <c r="U4" s="143"/>
      <c r="V4" s="135"/>
      <c r="W4" s="135"/>
      <c r="X4" s="237"/>
    </row>
    <row r="5" ht="22.5" customHeight="1">
      <c r="A5" s="227"/>
      <c r="B5" s="38"/>
      <c r="C5" s="219">
        <v>44896</v>
      </c>
      <c r="D5" s="287">
        <v>44926</v>
      </c>
      <c r="E5" s="235"/>
      <c r="F5" t="s" s="250">
        <v>262</v>
      </c>
      <c r="G5" s="41">
        <v>0.0062</v>
      </c>
      <c r="H5" s="249" cm="1">
        <f t="array" ref="H5">1+G5</f>
        <v>1.0062</v>
      </c>
      <c r="I5" s="249" cm="1">
        <f t="array" ref="I5">I4*H5</f>
        <v>1.016286339978</v>
      </c>
      <c r="J5" s="249" cm="1">
        <f t="array" ref="J5">(1+0.0934)^(NETWORKDAYS(C5,D5,'CRI_CRA - Feriado'!C3:C11)/252)</f>
        <v>1.00782580550494</v>
      </c>
      <c r="K5" s="44"/>
      <c r="L5" s="44"/>
      <c r="M5" s="86"/>
      <c r="N5" s="190"/>
      <c r="O5" s="86"/>
      <c r="P5" s="43"/>
      <c r="Q5" s="44"/>
      <c r="R5" s="130"/>
      <c r="S5" s="44"/>
      <c r="T5" s="86"/>
      <c r="U5" s="45"/>
      <c r="V5" s="38"/>
      <c r="W5" s="38"/>
      <c r="X5" s="236"/>
    </row>
    <row r="6" ht="22.5" customHeight="1">
      <c r="A6" s="227"/>
      <c r="B6" s="135"/>
      <c r="C6" s="228"/>
      <c r="D6" s="228"/>
      <c r="E6" s="228"/>
      <c r="F6" t="s" s="258">
        <v>263</v>
      </c>
      <c r="G6" s="138">
        <v>0.0053</v>
      </c>
      <c r="H6" s="257" cm="1">
        <f t="array" ref="H6">1+G6</f>
        <v>1.0053</v>
      </c>
      <c r="I6" s="257" cm="1">
        <f t="array" ref="I6">I5*H6</f>
        <v>1.02167265757988</v>
      </c>
      <c r="J6" s="257" cm="1">
        <f t="array" ref="J6">(1+0.0934)^(6/252)</f>
        <v>1.00212826410486</v>
      </c>
      <c r="K6" s="141"/>
      <c r="L6" s="141"/>
      <c r="M6" s="84"/>
      <c r="N6" s="191"/>
      <c r="O6" s="84"/>
      <c r="P6" s="140"/>
      <c r="Q6" s="141"/>
      <c r="R6" s="142"/>
      <c r="S6" s="141"/>
      <c r="T6" s="84"/>
      <c r="U6" s="143"/>
      <c r="V6" s="135"/>
      <c r="W6" s="135"/>
      <c r="X6" s="237"/>
    </row>
    <row r="7" ht="22.5" customHeight="1">
      <c r="A7" s="227"/>
      <c r="B7" s="38"/>
      <c r="C7" s="235"/>
      <c r="D7" s="235"/>
      <c r="E7" s="235"/>
      <c r="F7" t="s" s="250">
        <v>264</v>
      </c>
      <c r="G7" s="41">
        <v>0.008399999999999999</v>
      </c>
      <c r="H7" s="249" cm="1">
        <f t="array" ref="H7">1+G7</f>
        <v>1.0084</v>
      </c>
      <c r="I7" s="249" cm="1">
        <f t="array" ref="I7">I6*H7</f>
        <v>1.03025470790355</v>
      </c>
      <c r="J7" s="249" cm="1">
        <f t="array" ref="J7">(1+0.0934)^(6/252)</f>
        <v>1.00212826410486</v>
      </c>
      <c r="K7" s="44"/>
      <c r="L7" s="44"/>
      <c r="M7" s="86"/>
      <c r="N7" s="190"/>
      <c r="O7" s="86"/>
      <c r="P7" s="43"/>
      <c r="Q7" s="44"/>
      <c r="R7" s="130"/>
      <c r="S7" s="44"/>
      <c r="T7" s="86"/>
      <c r="U7" s="45"/>
      <c r="V7" s="38"/>
      <c r="W7" s="38"/>
      <c r="X7" s="236"/>
    </row>
    <row r="8" ht="22.5" customHeight="1">
      <c r="A8" s="227"/>
      <c r="B8" s="135"/>
      <c r="C8" s="228"/>
      <c r="D8" s="228"/>
      <c r="E8" s="228"/>
      <c r="F8" t="s" s="258">
        <v>265</v>
      </c>
      <c r="G8" s="138">
        <v>0.0071</v>
      </c>
      <c r="H8" s="257" cm="1">
        <f t="array" ref="H8">1+G8</f>
        <v>1.0071</v>
      </c>
      <c r="I8" s="257" cm="1">
        <f t="array" ref="I8">I7*H8</f>
        <v>1.03756951632967</v>
      </c>
      <c r="J8" s="257" cm="1">
        <f t="array" ref="J8">(1+0.0934)^(6/252)</f>
        <v>1.00212826410486</v>
      </c>
      <c r="K8" s="141"/>
      <c r="L8" s="141"/>
      <c r="M8" s="84"/>
      <c r="N8" s="191"/>
      <c r="O8" s="84"/>
      <c r="P8" s="140"/>
      <c r="Q8" s="141"/>
      <c r="R8" s="142"/>
      <c r="S8" s="141"/>
      <c r="T8" s="84"/>
      <c r="U8" s="143"/>
      <c r="V8" s="135"/>
      <c r="W8" s="135"/>
      <c r="X8" s="237"/>
    </row>
    <row r="9" ht="22.5" customHeight="1">
      <c r="A9" s="227"/>
      <c r="B9" s="38"/>
      <c r="C9" s="235"/>
      <c r="D9" s="235"/>
      <c r="E9" s="235"/>
      <c r="F9" t="s" s="250">
        <v>266</v>
      </c>
      <c r="G9" s="41">
        <v>0.0061</v>
      </c>
      <c r="H9" s="249" cm="1">
        <f t="array" ref="H9">1+G9</f>
        <v>1.0061</v>
      </c>
      <c r="I9" s="249" cm="1">
        <f t="array" ref="I9">I8*H9</f>
        <v>1.04389869037928</v>
      </c>
      <c r="J9" s="249" cm="1">
        <f t="array" ref="J9">(1+0.0934)^(6/252)</f>
        <v>1.00212826410486</v>
      </c>
      <c r="K9" s="44"/>
      <c r="L9" s="44"/>
      <c r="M9" s="86"/>
      <c r="N9" s="190"/>
      <c r="O9" s="86"/>
      <c r="P9" s="43"/>
      <c r="Q9" s="44"/>
      <c r="R9" s="130"/>
      <c r="S9" s="44"/>
      <c r="T9" s="86"/>
      <c r="U9" s="45"/>
      <c r="V9" s="38"/>
      <c r="W9" s="38"/>
      <c r="X9" s="236"/>
    </row>
    <row r="10" ht="22.5" customHeight="1">
      <c r="A10" s="227"/>
      <c r="B10" s="135"/>
      <c r="C10" s="228"/>
      <c r="D10" s="228"/>
      <c r="E10" s="228"/>
      <c r="F10" t="s" s="258">
        <v>267</v>
      </c>
      <c r="G10" s="138">
        <v>0.0023</v>
      </c>
      <c r="H10" s="257" cm="1">
        <f t="array" ref="H10">1+G10</f>
        <v>1.0023</v>
      </c>
      <c r="I10" s="257" cm="1">
        <f t="array" ref="I10">I9*H10</f>
        <v>1.04629965736715</v>
      </c>
      <c r="J10" s="257" cm="1">
        <f t="array" ref="J10">(1+0.0934)^(6/252)</f>
        <v>1.00212826410486</v>
      </c>
      <c r="K10" s="141"/>
      <c r="L10" s="141"/>
      <c r="M10" s="84"/>
      <c r="N10" s="191"/>
      <c r="O10" s="84"/>
      <c r="P10" s="140"/>
      <c r="Q10" s="141"/>
      <c r="R10" s="142"/>
      <c r="S10" s="141"/>
      <c r="T10" s="84"/>
      <c r="U10" s="143"/>
      <c r="V10" s="135"/>
      <c r="W10" s="135"/>
      <c r="X10" s="237"/>
    </row>
    <row r="11" ht="22.5" customHeight="1">
      <c r="A11" s="227"/>
      <c r="B11" s="38"/>
      <c r="C11" s="235"/>
      <c r="D11" s="235"/>
      <c r="E11" s="235"/>
      <c r="F11" t="s" s="250">
        <v>268</v>
      </c>
      <c r="G11" s="41">
        <v>-0.0008</v>
      </c>
      <c r="H11" s="249" cm="1">
        <f t="array" ref="H11">1+G11</f>
        <v>0.9992</v>
      </c>
      <c r="I11" s="249" cm="1">
        <f t="array" ref="I11">I10*H11</f>
        <v>1.04546261764126</v>
      </c>
      <c r="J11" s="249" cm="1">
        <f t="array" ref="J11">(1+0.0934)^(6/252)</f>
        <v>1.00212826410486</v>
      </c>
      <c r="K11" s="44"/>
      <c r="L11" s="44"/>
      <c r="M11" s="86"/>
      <c r="N11" s="190"/>
      <c r="O11" s="86"/>
      <c r="P11" s="43"/>
      <c r="Q11" s="44"/>
      <c r="R11" s="130"/>
      <c r="S11" s="44"/>
      <c r="T11" s="86"/>
      <c r="U11" s="45"/>
      <c r="V11" s="38"/>
      <c r="W11" s="38"/>
      <c r="X11" s="236"/>
    </row>
    <row r="12" ht="22.5" customHeight="1">
      <c r="A12" s="227"/>
      <c r="B12" s="135"/>
      <c r="C12" s="228"/>
      <c r="D12" s="228"/>
      <c r="E12" s="228"/>
      <c r="F12" t="s" s="258">
        <v>269</v>
      </c>
      <c r="G12" s="138">
        <v>0.0012</v>
      </c>
      <c r="H12" s="257" cm="1">
        <f t="array" ref="H12">1+G12</f>
        <v>1.0012</v>
      </c>
      <c r="I12" s="257" cm="1">
        <f t="array" ref="I12">I11*H12</f>
        <v>1.04671717278243</v>
      </c>
      <c r="J12" s="257" cm="1">
        <f t="array" ref="J12">(1+0.0934)^(6/252)</f>
        <v>1.00212826410486</v>
      </c>
      <c r="K12" s="141"/>
      <c r="L12" s="141"/>
      <c r="M12" s="84"/>
      <c r="N12" s="191"/>
      <c r="O12" s="84"/>
      <c r="P12" s="140"/>
      <c r="Q12" s="141"/>
      <c r="R12" s="142"/>
      <c r="S12" s="141"/>
      <c r="T12" s="84"/>
      <c r="U12" s="143"/>
      <c r="V12" s="135"/>
      <c r="W12" s="135"/>
      <c r="X12" s="237"/>
    </row>
    <row r="13" ht="22.5" customHeight="1">
      <c r="A13" s="227"/>
      <c r="B13" s="38"/>
      <c r="C13" s="235"/>
      <c r="D13" s="235"/>
      <c r="E13" s="235"/>
      <c r="F13" t="s" s="250">
        <v>270</v>
      </c>
      <c r="G13" s="41">
        <v>0.0023</v>
      </c>
      <c r="H13" s="249" cm="1">
        <f t="array" ref="H13">1+G13</f>
        <v>1.0023</v>
      </c>
      <c r="I13" s="249" cm="1">
        <f t="array" ref="I13">I12*H13</f>
        <v>1.04912462227983</v>
      </c>
      <c r="J13" s="249" cm="1">
        <f t="array" ref="J13">(1+0.0934)^(6/252)</f>
        <v>1.00212826410486</v>
      </c>
      <c r="K13" s="44"/>
      <c r="L13" s="44"/>
      <c r="M13" s="86"/>
      <c r="N13" s="190"/>
      <c r="O13" s="86"/>
      <c r="P13" s="43"/>
      <c r="Q13" s="44"/>
      <c r="R13" s="130"/>
      <c r="S13" s="44"/>
      <c r="T13" s="86"/>
      <c r="U13" s="45"/>
      <c r="V13" s="38"/>
      <c r="W13" s="38"/>
      <c r="X13" s="236"/>
    </row>
    <row r="14" ht="22.5" customHeight="1">
      <c r="A14" s="227"/>
      <c r="B14" s="135"/>
      <c r="C14" s="228"/>
      <c r="D14" s="228"/>
      <c r="E14" s="228"/>
      <c r="F14" t="s" s="258">
        <v>271</v>
      </c>
      <c r="G14" s="138">
        <v>0.0026</v>
      </c>
      <c r="H14" s="257" cm="1">
        <f t="array" ref="H14">1+G14</f>
        <v>1.0026</v>
      </c>
      <c r="I14" s="257" cm="1">
        <f t="array" ref="I14">I13*H14</f>
        <v>1.05185234629776</v>
      </c>
      <c r="J14" s="257" cm="1">
        <f t="array" ref="J14">(1+0.0934)^(6/252)</f>
        <v>1.00212826410486</v>
      </c>
      <c r="K14" s="141"/>
      <c r="L14" s="141"/>
      <c r="M14" s="84"/>
      <c r="N14" s="191"/>
      <c r="O14" s="84"/>
      <c r="P14" s="140"/>
      <c r="Q14" s="141"/>
      <c r="R14" s="142"/>
      <c r="S14" s="141"/>
      <c r="T14" s="84"/>
      <c r="U14" s="143"/>
      <c r="V14" s="135"/>
      <c r="W14" s="135"/>
      <c r="X14" s="237"/>
    </row>
    <row r="15" ht="22.5" customHeight="1">
      <c r="A15" s="227"/>
      <c r="B15" s="38"/>
      <c r="C15" s="235"/>
      <c r="D15" s="235"/>
      <c r="E15" s="235"/>
      <c r="F15" t="s" s="250">
        <v>272</v>
      </c>
      <c r="G15" s="41">
        <v>0.0024</v>
      </c>
      <c r="H15" s="249" cm="1">
        <f t="array" ref="H15">1+G15</f>
        <v>1.0024</v>
      </c>
      <c r="I15" s="249" cm="1">
        <f t="array" ref="I15">I14*H15</f>
        <v>1.05437679192887</v>
      </c>
      <c r="J15" s="249" cm="1">
        <f t="array" ref="J15">(1+0.0934)^(6/252)</f>
        <v>1.00212826410486</v>
      </c>
      <c r="K15" s="44"/>
      <c r="L15" s="44"/>
      <c r="M15" s="86"/>
      <c r="N15" s="190"/>
      <c r="O15" s="86"/>
      <c r="P15" s="43"/>
      <c r="Q15" s="44"/>
      <c r="R15" s="130"/>
      <c r="S15" s="44"/>
      <c r="T15" s="86"/>
      <c r="U15" s="45"/>
      <c r="V15" s="38"/>
      <c r="W15" s="38"/>
      <c r="X15" s="236"/>
    </row>
    <row r="16" ht="22.5" customHeight="1">
      <c r="A16" s="227"/>
      <c r="B16" s="135"/>
      <c r="C16" s="228"/>
      <c r="D16" s="228"/>
      <c r="E16" s="228"/>
      <c r="F16" t="s" s="258">
        <v>273</v>
      </c>
      <c r="G16" s="138">
        <v>0.0028</v>
      </c>
      <c r="H16" s="257" cm="1">
        <f t="array" ref="H16">1+G16</f>
        <v>1.0028</v>
      </c>
      <c r="I16" s="257" cm="1">
        <f t="array" ref="I16">I15*H16</f>
        <v>1.05732904694627</v>
      </c>
      <c r="J16" s="257" cm="1">
        <f t="array" ref="J16">(1+0.0934)^(6/252)</f>
        <v>1.00212826410486</v>
      </c>
      <c r="K16" s="141"/>
      <c r="L16" s="141"/>
      <c r="M16" s="84"/>
      <c r="N16" s="191"/>
      <c r="O16" s="84"/>
      <c r="P16" s="140"/>
      <c r="Q16" s="141"/>
      <c r="R16" s="142"/>
      <c r="S16" s="141"/>
      <c r="T16" s="84"/>
      <c r="U16" s="143"/>
      <c r="V16" s="135"/>
      <c r="W16" s="135"/>
      <c r="X16" s="237"/>
    </row>
    <row r="17" ht="22.75" customHeight="1">
      <c r="A17" s="238"/>
      <c r="B17" s="108"/>
      <c r="C17" s="239"/>
      <c r="D17" s="239"/>
      <c r="E17" s="239"/>
      <c r="F17" t="s" s="289">
        <v>274</v>
      </c>
      <c r="G17" s="111">
        <v>0.0056</v>
      </c>
      <c r="H17" s="290" cm="1">
        <f t="array" ref="H17">1+G17</f>
        <v>1.0056</v>
      </c>
      <c r="I17" s="290" cm="1">
        <f t="array" ref="I17">I16*H17</f>
        <v>1.06325008960917</v>
      </c>
      <c r="J17" s="290" cm="1">
        <f t="array" ref="J17">(1+0.0934)^(6/252)</f>
        <v>1.00212826410486</v>
      </c>
      <c r="K17" s="114"/>
      <c r="L17" s="114"/>
      <c r="M17" s="153"/>
      <c r="N17" s="194"/>
      <c r="O17" s="153"/>
      <c r="P17" s="113"/>
      <c r="Q17" s="114"/>
      <c r="R17" s="152"/>
      <c r="S17" s="114"/>
      <c r="T17" s="153"/>
      <c r="U17" s="115"/>
      <c r="V17" s="108"/>
      <c r="W17" s="108"/>
      <c r="X17" s="241"/>
    </row>
    <row r="18" ht="22.85" customHeight="1">
      <c r="A18" t="s" s="63">
        <v>46</v>
      </c>
      <c r="B18" s="64"/>
      <c r="C18" s="65"/>
      <c r="D18" s="65"/>
      <c r="E18" s="65"/>
      <c r="F18" s="64"/>
      <c r="G18" s="64"/>
      <c r="H18" s="64"/>
      <c r="I18" s="64"/>
      <c r="J18" s="64"/>
      <c r="K18" s="64"/>
      <c r="L18" s="64"/>
      <c r="M18" s="64"/>
      <c r="N18" s="64"/>
      <c r="O18" s="66" cm="1">
        <f t="array" ref="O18">SUM(O3:O17)</f>
        <v>39</v>
      </c>
      <c r="P18" s="67"/>
      <c r="Q18" s="68" cm="1">
        <f t="array" ref="Q18">SUM(Q3:Q17)</f>
        <v>40117.35</v>
      </c>
      <c r="R18" s="156" cm="1">
        <f t="array" ref="R18">SUM(R3:R17)</f>
        <v>44509.92</v>
      </c>
      <c r="S18" s="68" cm="1">
        <f t="array" ref="S18">SUM(S3:S17)</f>
        <v>4392.57</v>
      </c>
      <c r="T18" s="69" cm="1">
        <f t="array" ref="T18">SUM(T3:T17)</f>
        <v>0</v>
      </c>
      <c r="U18" s="70" cm="1">
        <f t="array" ref="U18">(R18-Q18)/Q18</f>
        <v>0.10949302483838</v>
      </c>
      <c r="V18" s="120" cm="1">
        <f t="array" ref="V18">N3+#REF!+#REF!+#REF!</f>
      </c>
      <c r="W18" s="157" cm="1">
        <f t="array" ref="W18">SUM(W3:W17)</f>
        <v>312.51</v>
      </c>
      <c r="X18" s="159" cm="1">
        <f t="array" ref="X18">SUM(X3:X17)</f>
        <v>519.1</v>
      </c>
    </row>
  </sheetData>
  <conditionalFormatting sqref="D3:E3">
    <cfRule type="cellIs" dxfId="140" priority="1" operator="lessThan" stopIfTrue="1">
      <formula>35.87</formula>
    </cfRule>
    <cfRule type="cellIs" dxfId="141" priority="2" operator="lessThan" stopIfTrue="1">
      <formula>31.88</formula>
    </cfRule>
    <cfRule type="cellIs" dxfId="142" priority="3" operator="greaterThan" stopIfTrue="1">
      <formula>43.84</formula>
    </cfRule>
    <cfRule type="cellIs" dxfId="143" priority="4" operator="greaterThan" stopIfTrue="1">
      <formula>48.79</formula>
    </cfRule>
  </conditionalFormatting>
  <conditionalFormatting sqref="K3">
    <cfRule type="cellIs" dxfId="144" priority="1" operator="between" stopIfTrue="1">
      <formula>925.76</formula>
      <formula>822.91</formula>
    </cfRule>
    <cfRule type="cellIs" dxfId="145" priority="2" operator="lessThanOrEqual" stopIfTrue="1">
      <formula>822.92</formula>
    </cfRule>
    <cfRule type="cellIs" dxfId="146" priority="3" operator="between" stopIfTrue="1">
      <formula>1131.51</formula>
      <formula>1234.37</formula>
    </cfRule>
    <cfRule type="cellIs" dxfId="147" priority="4" operator="greaterThanOrEqual" stopIfTrue="1">
      <formula>1234.38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7"/>
  <sheetViews>
    <sheetView workbookViewId="0" showGridLines="0" defaultGridColor="1">
      <pane topLeftCell="B1" xSplit="1" ySplit="0" activePane="topRight" state="frozen"/>
    </sheetView>
  </sheetViews>
  <sheetFormatPr defaultColWidth="11.6667" defaultRowHeight="21.65" customHeight="1" outlineLevelRow="0" outlineLevelCol="0"/>
  <cols>
    <col min="1" max="1" width="10.2734" style="291" customWidth="1"/>
    <col min="2" max="2" width="26.3438" style="291" customWidth="1"/>
    <col min="3" max="5" width="28.4922" style="291" customWidth="1"/>
    <col min="6" max="6" width="12.25" style="291" customWidth="1"/>
    <col min="7" max="7" width="11.8047" style="291" customWidth="1"/>
    <col min="8" max="8" width="12.1328" style="291" customWidth="1"/>
    <col min="9" max="9" width="11.1172" style="291" customWidth="1"/>
    <col min="10" max="10" width="8.75" style="291" customWidth="1"/>
    <col min="11" max="11" hidden="1" width="11.6667" style="291" customWidth="1"/>
    <col min="12" max="13" width="14.6016" style="291" customWidth="1"/>
    <col min="14" max="14" width="12.1328" style="291" customWidth="1"/>
    <col min="15" max="16" hidden="1" width="11.6667" style="291" customWidth="1"/>
    <col min="17" max="19" width="12.1328" style="291" customWidth="1"/>
    <col min="20" max="16384" width="11.6719" style="291" customWidth="1"/>
  </cols>
  <sheetData>
    <row r="1" ht="22.6" customHeight="1">
      <c r="A1" s="27"/>
      <c r="B1" s="28"/>
      <c r="C1" s="29"/>
      <c r="D1" s="29"/>
      <c r="E1" s="29"/>
      <c r="F1" s="28"/>
      <c r="G1" s="28"/>
      <c r="H1" s="28"/>
      <c r="I1" s="28"/>
      <c r="J1" s="28"/>
      <c r="K1" s="30"/>
      <c r="L1" s="28"/>
      <c r="M1" s="28"/>
      <c r="N1" s="28"/>
      <c r="O1" s="28"/>
      <c r="P1" s="28"/>
      <c r="Q1" s="28"/>
      <c r="R1" s="28"/>
      <c r="S1" s="31"/>
    </row>
    <row r="2" ht="36.5" customHeight="1">
      <c r="A2" t="s" s="32">
        <v>19</v>
      </c>
      <c r="B2" t="s" s="33">
        <v>20</v>
      </c>
      <c r="C2" t="s" s="34">
        <v>210</v>
      </c>
      <c r="D2" t="s" s="34">
        <v>251</v>
      </c>
      <c r="E2" t="s" s="34">
        <v>82</v>
      </c>
      <c r="F2" t="s" s="33">
        <v>22</v>
      </c>
      <c r="G2" t="s" s="33">
        <v>23</v>
      </c>
      <c r="H2" t="s" s="34">
        <v>24</v>
      </c>
      <c r="I2" t="s" s="33">
        <v>10</v>
      </c>
      <c r="J2" t="s" s="33">
        <v>83</v>
      </c>
      <c r="K2" t="s" s="35">
        <v>26</v>
      </c>
      <c r="L2" t="s" s="33">
        <v>84</v>
      </c>
      <c r="M2" t="s" s="33">
        <v>7</v>
      </c>
      <c r="N2" t="s" s="33">
        <v>28</v>
      </c>
      <c r="O2" t="s" s="33">
        <v>29</v>
      </c>
      <c r="P2" t="s" s="33">
        <v>30</v>
      </c>
      <c r="Q2" s="33"/>
      <c r="R2" t="s" s="33">
        <v>38</v>
      </c>
      <c r="S2" t="s" s="36">
        <v>39</v>
      </c>
    </row>
    <row r="3" ht="22.5" customHeight="1">
      <c r="A3" t="s" s="292">
        <v>257</v>
      </c>
      <c r="B3" t="s" s="293">
        <v>258</v>
      </c>
      <c r="C3" s="294">
        <v>44858</v>
      </c>
      <c r="D3" s="295">
        <v>47284</v>
      </c>
      <c r="E3" t="s" s="296">
        <v>259</v>
      </c>
      <c r="F3" s="297">
        <v>1141.28</v>
      </c>
      <c r="G3" s="297">
        <v>1028.65</v>
      </c>
      <c r="H3" s="297" cm="1">
        <f t="array" ref="H3">F3-G3</f>
        <v>112.63</v>
      </c>
      <c r="I3" s="298" cm="1">
        <f t="array" ref="I3">(F3-G3)/G3</f>
        <v>0.10949302483838</v>
      </c>
      <c r="J3" s="299">
        <v>39</v>
      </c>
      <c r="K3" s="43">
        <v>0.20426506</v>
      </c>
      <c r="L3" s="297">
        <v>40117.35</v>
      </c>
      <c r="M3" s="300">
        <v>44509.92</v>
      </c>
      <c r="N3" s="297" cm="1">
        <f t="array" ref="N3">_xlfn.IFERROR(M3-L3,"–")</f>
        <v>4392.57</v>
      </c>
      <c r="O3" s="44">
        <v>0</v>
      </c>
      <c r="P3" s="45" cm="1">
        <f t="array" ref="P3">_xlfn.IFERROR((M3-L3)/L3,"–")</f>
        <v>0.10949302483838</v>
      </c>
      <c r="Q3" s="301"/>
      <c r="R3" s="302">
        <v>312.51</v>
      </c>
      <c r="S3" s="303">
        <v>519.1</v>
      </c>
    </row>
    <row r="4" ht="22.5" customHeight="1">
      <c r="A4" t="s" s="304">
        <v>276</v>
      </c>
      <c r="B4" t="s" s="305">
        <v>277</v>
      </c>
      <c r="C4" s="306"/>
      <c r="D4" s="306"/>
      <c r="E4" t="s" s="307">
        <v>278</v>
      </c>
      <c r="F4" s="308">
        <v>86506.100000000006</v>
      </c>
      <c r="G4" s="308">
        <v>84000</v>
      </c>
      <c r="H4" s="308" cm="1">
        <f t="array" ref="H4">F4-G4</f>
        <v>2506.1</v>
      </c>
      <c r="I4" s="309" cm="1">
        <f t="array" ref="I4">(F4-G4)/G4</f>
        <v>0.0298345238095238</v>
      </c>
      <c r="J4" s="310">
        <v>1</v>
      </c>
      <c r="K4" s="140"/>
      <c r="L4" s="308">
        <v>84000</v>
      </c>
      <c r="M4" s="311">
        <v>86506.100000000006</v>
      </c>
      <c r="N4" s="308" cm="1">
        <f t="array" ref="N4">_xlfn.IFERROR(M4-L4,"–")</f>
        <v>2506.1</v>
      </c>
      <c r="O4" s="84"/>
      <c r="P4" s="143"/>
      <c r="Q4" s="312"/>
      <c r="R4" s="312"/>
      <c r="S4" s="313"/>
    </row>
    <row r="5" ht="22.5" customHeight="1">
      <c r="A5" t="s" s="314">
        <v>279</v>
      </c>
      <c r="B5" t="s" s="315">
        <v>280</v>
      </c>
      <c r="C5" s="316">
        <v>44858</v>
      </c>
      <c r="D5" s="317">
        <v>49142</v>
      </c>
      <c r="E5" t="s" s="318">
        <v>281</v>
      </c>
      <c r="F5" s="319">
        <v>874.86</v>
      </c>
      <c r="G5" s="319">
        <v>975.0700000000001</v>
      </c>
      <c r="H5" s="319" cm="1">
        <f t="array" ref="H5">F5-G5</f>
        <v>-100.21</v>
      </c>
      <c r="I5" s="320" cm="1">
        <f t="array" ref="I5">(F5-G5)/G5</f>
        <v>-0.102772108669121</v>
      </c>
      <c r="J5" s="321">
        <v>42</v>
      </c>
      <c r="K5" s="43"/>
      <c r="L5" s="319">
        <v>40952.94</v>
      </c>
      <c r="M5" s="322">
        <v>36744.12</v>
      </c>
      <c r="N5" s="319" cm="1">
        <f t="array" ref="N5">_xlfn.IFERROR(M5-L5,"–")</f>
        <v>-4208.82</v>
      </c>
      <c r="O5" s="86"/>
      <c r="P5" s="45"/>
      <c r="Q5" s="323"/>
      <c r="R5" s="323"/>
      <c r="S5" s="324"/>
    </row>
    <row r="6" ht="22.75" customHeight="1">
      <c r="A6" t="s" s="48">
        <v>282</v>
      </c>
      <c r="B6" t="s" s="325">
        <v>283</v>
      </c>
      <c r="C6" s="326">
        <v>44858</v>
      </c>
      <c r="D6" s="327">
        <v>47378</v>
      </c>
      <c r="E6" t="s" s="328">
        <v>284</v>
      </c>
      <c r="F6" s="56">
        <v>1117.04</v>
      </c>
      <c r="G6" s="56">
        <v>1019.18</v>
      </c>
      <c r="H6" s="56" cm="1">
        <f t="array" ref="H6">F6-G6</f>
        <v>97.86</v>
      </c>
      <c r="I6" s="268" cm="1">
        <f t="array" ref="I6">(F6-G6)/G6</f>
        <v>0.0960183677073726</v>
      </c>
      <c r="J6" s="329">
        <v>40</v>
      </c>
      <c r="K6" s="55"/>
      <c r="L6" s="56">
        <v>40767.2</v>
      </c>
      <c r="M6" s="330">
        <v>44681.6</v>
      </c>
      <c r="N6" s="56" cm="1">
        <f t="array" ref="N6">_xlfn.IFERROR(M6-L6,"–")</f>
        <v>3914.4</v>
      </c>
      <c r="O6" s="269"/>
      <c r="P6" s="57"/>
      <c r="Q6" s="49"/>
      <c r="R6" s="49"/>
      <c r="S6" s="331"/>
    </row>
    <row r="7" ht="22.85" customHeight="1">
      <c r="A7" t="s" s="63">
        <v>46</v>
      </c>
      <c r="B7" s="64"/>
      <c r="C7" s="65"/>
      <c r="D7" s="65"/>
      <c r="E7" s="65"/>
      <c r="F7" s="64"/>
      <c r="G7" s="64"/>
      <c r="H7" s="64"/>
      <c r="I7" s="64"/>
      <c r="J7" s="66" cm="1">
        <f t="array" ref="J7">SUM(J3:J6)</f>
        <v>122</v>
      </c>
      <c r="K7" s="67"/>
      <c r="L7" s="68" cm="1">
        <f t="array" ref="L7">SUM(L3:L6)</f>
        <v>205837.49</v>
      </c>
      <c r="M7" s="156" cm="1">
        <f t="array" ref="M7">SUM(M3:M6)</f>
        <v>212441.74</v>
      </c>
      <c r="N7" s="68" cm="1">
        <f t="array" ref="N7">SUM(N3:N6)</f>
        <v>6604.25</v>
      </c>
      <c r="O7" s="69" cm="1">
        <f t="array" ref="O7">SUM(O3:O6)</f>
        <v>0</v>
      </c>
      <c r="P7" s="70" cm="1">
        <f t="array" ref="P7">(M7-L7)/L7</f>
        <v>0.0320847771705728</v>
      </c>
      <c r="Q7" s="120" cm="1">
        <f t="array" ref="Q7">I3+I4+I5+I6</f>
        <v>0.132573807686155</v>
      </c>
      <c r="R7" s="157" cm="1">
        <f t="array" ref="R7">SUM(R3:R6)</f>
        <v>312.51</v>
      </c>
      <c r="S7" s="159" cm="1">
        <f t="array" ref="S7">SUM(S3:S6)</f>
        <v>519.1</v>
      </c>
    </row>
  </sheetData>
  <conditionalFormatting sqref="D3:E3 E4 C5:E6">
    <cfRule type="cellIs" dxfId="148" priority="1" operator="lessThan" stopIfTrue="1">
      <formula>35.87</formula>
    </cfRule>
    <cfRule type="cellIs" dxfId="149" priority="2" operator="lessThan" stopIfTrue="1">
      <formula>31.88</formula>
    </cfRule>
    <cfRule type="cellIs" dxfId="150" priority="3" operator="greaterThan" stopIfTrue="1">
      <formula>43.84</formula>
    </cfRule>
    <cfRule type="cellIs" dxfId="151" priority="4" operator="greaterThan" stopIfTrue="1">
      <formula>48.79</formula>
    </cfRule>
  </conditionalFormatting>
  <conditionalFormatting sqref="F3">
    <cfRule type="cellIs" dxfId="152" priority="1" operator="between" stopIfTrue="1">
      <formula>925.76</formula>
      <formula>822.91</formula>
    </cfRule>
    <cfRule type="cellIs" dxfId="153" priority="2" operator="lessThanOrEqual" stopIfTrue="1">
      <formula>822.92</formula>
    </cfRule>
    <cfRule type="cellIs" dxfId="154" priority="3" operator="between" stopIfTrue="1">
      <formula>1131.51</formula>
      <formula>1234.37</formula>
    </cfRule>
    <cfRule type="cellIs" dxfId="155" priority="4" operator="greaterThanOrEqual" stopIfTrue="1">
      <formula>1234.38</formula>
    </cfRule>
  </conditionalFormatting>
  <conditionalFormatting sqref="F4">
    <cfRule type="cellIs" dxfId="156" priority="1" operator="between" stopIfTrue="1">
      <formula>75600</formula>
      <formula>67201</formula>
    </cfRule>
    <cfRule type="cellIs" dxfId="157" priority="2" operator="lessThanOrEqual" stopIfTrue="1">
      <formula>67200</formula>
    </cfRule>
    <cfRule type="cellIs" dxfId="158" priority="3" operator="between" stopIfTrue="1">
      <formula>92400</formula>
      <formula>100799</formula>
    </cfRule>
    <cfRule type="cellIs" dxfId="159" priority="4" operator="greaterThanOrEqual" stopIfTrue="1">
      <formula>100800</formula>
    </cfRule>
  </conditionalFormatting>
  <conditionalFormatting sqref="F5">
    <cfRule type="cellIs" dxfId="160" priority="1" operator="between" stopIfTrue="1">
      <formula>877.56</formula>
      <formula>780.04</formula>
    </cfRule>
    <cfRule type="cellIs" dxfId="161" priority="2" operator="lessThanOrEqual" stopIfTrue="1">
      <formula>780.05</formula>
    </cfRule>
    <cfRule type="cellIs" dxfId="162" priority="3" operator="between" stopIfTrue="1">
      <formula>45048.47</formula>
      <formula>49143.78</formula>
    </cfRule>
    <cfRule type="cellIs" dxfId="163" priority="4" operator="greaterThan" stopIfTrue="1">
      <formula>49143.79</formula>
    </cfRule>
  </conditionalFormatting>
  <conditionalFormatting sqref="F6">
    <cfRule type="cellIs" dxfId="164" priority="1" operator="between" stopIfTrue="1">
      <formula>917.26</formula>
      <formula>815.33</formula>
    </cfRule>
    <cfRule type="cellIs" dxfId="165" priority="2" operator="lessThanOrEqual" stopIfTrue="1">
      <formula>815.34</formula>
    </cfRule>
    <cfRule type="cellIs" dxfId="166" priority="3" operator="between" stopIfTrue="1">
      <formula>1121.09</formula>
      <formula>1223</formula>
    </cfRule>
    <cfRule type="cellIs" dxfId="167" priority="4" operator="greaterThanOrEqual" stopIfTrue="1">
      <formula>1223.01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5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65" customHeight="1" outlineLevelRow="0" outlineLevelCol="0"/>
  <cols>
    <col min="1" max="5" width="16.3516" style="332" customWidth="1"/>
    <col min="6" max="16384" width="16.3516" style="332" customWidth="1"/>
  </cols>
  <sheetData>
    <row r="1" ht="30" customHeight="1">
      <c r="A1" t="s" s="17">
        <v>285</v>
      </c>
      <c r="B1" s="17"/>
      <c r="C1" s="17"/>
      <c r="D1" s="17"/>
      <c r="E1" s="17"/>
    </row>
    <row r="2" ht="22.85" customHeight="1">
      <c r="A2" s="77"/>
      <c r="B2" s="78"/>
      <c r="C2" s="78"/>
      <c r="D2" s="78"/>
      <c r="E2" s="79"/>
    </row>
    <row r="3" ht="22.75" customHeight="1">
      <c r="A3" s="80"/>
      <c r="B3" s="81"/>
      <c r="C3" s="81"/>
      <c r="D3" s="81"/>
      <c r="E3" s="82"/>
    </row>
    <row r="4" ht="22.5" customHeight="1">
      <c r="A4" s="83"/>
      <c r="B4" s="84"/>
      <c r="C4" s="84"/>
      <c r="D4" s="84"/>
      <c r="E4" s="85"/>
    </row>
    <row r="5" ht="22.5" customHeight="1">
      <c r="A5" t="s" s="101">
        <v>287</v>
      </c>
      <c r="B5" s="171">
        <v>44867</v>
      </c>
      <c r="C5" s="176">
        <v>44920</v>
      </c>
      <c r="D5" s="86"/>
      <c r="E5" s="87"/>
    </row>
    <row r="6" ht="36.5" customHeight="1">
      <c r="A6" t="s" s="101">
        <v>288</v>
      </c>
      <c r="B6" s="175">
        <v>44880</v>
      </c>
      <c r="C6" s="84"/>
      <c r="D6" s="84"/>
      <c r="E6" s="85"/>
    </row>
    <row r="7" ht="22.5" customHeight="1">
      <c r="A7" s="83"/>
      <c r="B7" s="86"/>
      <c r="C7" s="86"/>
      <c r="D7" s="86"/>
      <c r="E7" s="87"/>
    </row>
    <row r="8" ht="22.5" customHeight="1">
      <c r="A8" s="83"/>
      <c r="B8" s="84"/>
      <c r="C8" s="84"/>
      <c r="D8" s="84"/>
      <c r="E8" s="85"/>
    </row>
    <row r="9" ht="22.5" customHeight="1">
      <c r="A9" s="83"/>
      <c r="B9" s="86"/>
      <c r="C9" s="86"/>
      <c r="D9" s="86"/>
      <c r="E9" s="87"/>
    </row>
    <row r="10" ht="22.5" customHeight="1">
      <c r="A10" s="83"/>
      <c r="B10" s="84"/>
      <c r="C10" s="84"/>
      <c r="D10" s="84"/>
      <c r="E10" s="85"/>
    </row>
    <row r="11" ht="22.6" customHeight="1">
      <c r="A11" s="88"/>
      <c r="B11" s="89"/>
      <c r="C11" s="89"/>
      <c r="D11" s="89"/>
      <c r="E11" s="90"/>
    </row>
  </sheetData>
  <mergeCells count="1">
    <mergeCell ref="A1:E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52.xml><?xml version="1.0" encoding="utf-8"?>
<worksheet xmlns:r="http://schemas.openxmlformats.org/officeDocument/2006/relationships" xmlns="http://schemas.openxmlformats.org/spreadsheetml/2006/main">
  <sheetPr>
    <pageSetUpPr fitToPage="1"/>
  </sheetPr>
  <dimension ref="A2"/>
  <sheetViews>
    <sheetView workbookViewId="0" showGridLines="0" defaultGridColor="1"/>
  </sheetViews>
  <sheetFormatPr defaultColWidth="16.3333" defaultRowHeight="21.65" customHeight="1" outlineLevelRow="0" outlineLevelCol="0"/>
  <cols>
    <col min="1" max="1" width="16.3516" style="333" customWidth="1"/>
    <col min="2" max="16384" width="16.3516" style="333" customWidth="1"/>
  </cols>
  <sheetData>
    <row r="1" ht="30" customHeight="1">
      <c r="A1" t="s" s="17">
        <v>120</v>
      </c>
    </row>
    <row r="2" ht="22.75" customHeight="1">
      <c r="A2" s="161">
        <v>12</v>
      </c>
    </row>
  </sheetData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5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65" customHeight="1" outlineLevelRow="0" outlineLevelCol="0"/>
  <cols>
    <col min="1" max="5" width="16.3516" style="334" customWidth="1"/>
    <col min="6" max="16384" width="16.3516" style="334" customWidth="1"/>
  </cols>
  <sheetData>
    <row r="1" ht="30" customHeight="1">
      <c r="A1" t="s" s="17">
        <v>47</v>
      </c>
      <c r="B1" s="17"/>
      <c r="C1" s="17"/>
      <c r="D1" s="17"/>
      <c r="E1" s="17"/>
    </row>
    <row r="2" ht="22.85" customHeight="1">
      <c r="A2" s="77"/>
      <c r="B2" s="78"/>
      <c r="C2" s="78"/>
      <c r="D2" s="78"/>
      <c r="E2" s="79"/>
    </row>
    <row r="3" ht="22.75" customHeight="1">
      <c r="A3" s="80"/>
      <c r="B3" s="81"/>
      <c r="C3" s="81"/>
      <c r="D3" s="81"/>
      <c r="E3" s="82"/>
    </row>
    <row r="4" ht="22.5" customHeight="1">
      <c r="A4" s="83"/>
      <c r="B4" s="84"/>
      <c r="C4" s="84"/>
      <c r="D4" s="84"/>
      <c r="E4" s="85"/>
    </row>
    <row r="5" ht="22.5" customHeight="1">
      <c r="A5" s="83"/>
      <c r="B5" s="86"/>
      <c r="C5" s="86"/>
      <c r="D5" s="86"/>
      <c r="E5" s="87"/>
    </row>
    <row r="6" ht="22.5" customHeight="1">
      <c r="A6" s="83"/>
      <c r="B6" s="84"/>
      <c r="C6" s="84"/>
      <c r="D6" s="84"/>
      <c r="E6" s="85"/>
    </row>
    <row r="7" ht="22.5" customHeight="1">
      <c r="A7" s="83"/>
      <c r="B7" s="86"/>
      <c r="C7" s="86"/>
      <c r="D7" s="86"/>
      <c r="E7" s="87"/>
    </row>
    <row r="8" ht="22.5" customHeight="1">
      <c r="A8" s="83"/>
      <c r="B8" s="84"/>
      <c r="C8" s="84"/>
      <c r="D8" s="84"/>
      <c r="E8" s="85"/>
    </row>
    <row r="9" ht="22.5" customHeight="1">
      <c r="A9" s="83"/>
      <c r="B9" s="86"/>
      <c r="C9" s="86"/>
      <c r="D9" s="86"/>
      <c r="E9" s="87"/>
    </row>
    <row r="10" ht="22.5" customHeight="1">
      <c r="A10" s="83"/>
      <c r="B10" s="84"/>
      <c r="C10" s="84"/>
      <c r="D10" s="84"/>
      <c r="E10" s="85"/>
    </row>
    <row r="11" ht="22.6" customHeight="1">
      <c r="A11" s="88"/>
      <c r="B11" s="89"/>
      <c r="C11" s="89"/>
      <c r="D11" s="89"/>
      <c r="E11" s="90"/>
    </row>
  </sheetData>
  <mergeCells count="1">
    <mergeCell ref="A1:E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5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style="335" customWidth="1"/>
  </cols>
  <sheetData/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</worksheet>
</file>

<file path=xl/worksheets/sheet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3"/>
  <sheetViews>
    <sheetView workbookViewId="0" showGridLines="0" defaultGridColor="1"/>
  </sheetViews>
  <sheetFormatPr defaultColWidth="26.2615" defaultRowHeight="21.65" customHeight="1" outlineLevelRow="0" outlineLevelCol="0"/>
  <cols>
    <col min="1" max="1" width="26.2656" style="336" customWidth="1"/>
    <col min="2" max="2" width="28" style="336" customWidth="1"/>
    <col min="3" max="3" width="3.35156" style="336" customWidth="1"/>
    <col min="4" max="16384" width="26.2656" style="336" customWidth="1"/>
  </cols>
  <sheetData>
    <row r="1" ht="80" customHeight="1">
      <c r="A1" t="s" s="7">
        <v>196</v>
      </c>
      <c r="B1" s="8" cm="1">
        <f t="array" ref="B1">'FUNDOS - Meu Portfólio'!E3+'FUNDOS - Meu Portfólio'!E4</f>
        <v>261210.93</v>
      </c>
      <c r="C1" s="9"/>
    </row>
    <row r="2" ht="64" customHeight="1">
      <c r="A2" t="s" s="10">
        <v>8</v>
      </c>
      <c r="B2" s="11" cm="1">
        <f t="array" ref="B2">'FUNDOS - Meu Portfólio'!M6-'FUNDOS - Meu Portfólio'!N6</f>
        <v>4943.32</v>
      </c>
      <c r="C2" t="str" s="12" cm="1">
        <f t="array" ref="C2">IF(B2&gt;0,"↑",IF(B2&lt;0,"↓","–"))</f>
        <v>↑</v>
      </c>
    </row>
    <row r="3" ht="64" customHeight="1">
      <c r="A3" t="s" s="13">
        <v>10</v>
      </c>
      <c r="B3" s="14" cm="1">
        <f t="array" ref="B3">'FUNDOS - Meu Portfólio'!P$6</f>
        <v>0.0468973236555381</v>
      </c>
      <c r="C3" t="str" s="15" cm="1">
        <f t="array" ref="C3">IF(B3="–","–",IF(B3&gt;0,"↑",IF(B3&lt;0,"↓","–")))</f>
        <v>↑</v>
      </c>
    </row>
  </sheetData>
  <mergeCells count="1">
    <mergeCell ref="B1:C1"/>
  </mergeCells>
  <conditionalFormatting sqref="B2:B3">
    <cfRule type="cellIs" dxfId="168" priority="1" operator="greaterThan" stopIfTrue="1">
      <formula>0</formula>
    </cfRule>
    <cfRule type="cellIs" dxfId="169" priority="2" operator="lessThan" stopIfTrue="1">
      <formula>0</formula>
    </cfRule>
  </conditionalFormatting>
  <conditionalFormatting sqref="C2:C3">
    <cfRule type="cellIs" dxfId="170" priority="1" operator="equal" stopIfTrue="1">
      <formula>"↑"</formula>
    </cfRule>
    <cfRule type="cellIs" dxfId="171" priority="2" operator="equal" stopIfTrue="1">
      <formula>"↓"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5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5"/>
  <sheetViews>
    <sheetView workbookViewId="0" showGridLines="0" defaultGridColor="1"/>
  </sheetViews>
  <sheetFormatPr defaultColWidth="16.3333" defaultRowHeight="21.65" customHeight="1" outlineLevelRow="0" outlineLevelCol="0"/>
  <cols>
    <col min="1" max="1" width="16.3516" style="337" customWidth="1"/>
    <col min="2" max="2" width="43.4297" style="337" customWidth="1"/>
    <col min="3" max="16384" width="16.3516" style="337" customWidth="1"/>
  </cols>
  <sheetData>
    <row r="1" ht="30" customHeight="1">
      <c r="A1" t="s" s="17">
        <v>11</v>
      </c>
      <c r="B1" s="17"/>
    </row>
    <row r="2" ht="22.6" customHeight="1">
      <c r="A2" s="18"/>
      <c r="B2" t="s" s="19">
        <v>13</v>
      </c>
    </row>
    <row r="3" ht="22.5" customHeight="1">
      <c r="A3" s="20"/>
      <c r="B3" t="s" s="21">
        <v>79</v>
      </c>
    </row>
    <row r="4" ht="22.5" customHeight="1">
      <c r="A4" s="22"/>
      <c r="B4" t="s" s="23">
        <v>15</v>
      </c>
    </row>
    <row r="5" ht="22.6" customHeight="1">
      <c r="A5" s="24"/>
      <c r="B5" t="s" s="25">
        <v>16</v>
      </c>
    </row>
  </sheetData>
  <mergeCells count="1">
    <mergeCell ref="A1:B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R6"/>
  <sheetViews>
    <sheetView workbookViewId="0" showGridLines="0" defaultGridColor="1">
      <pane topLeftCell="B1" xSplit="1" ySplit="0" activePane="topRight" state="frozen"/>
    </sheetView>
  </sheetViews>
  <sheetFormatPr defaultColWidth="11.6667" defaultRowHeight="21.65" customHeight="1" outlineLevelRow="0" outlineLevelCol="0"/>
  <cols>
    <col min="1" max="1" width="10.2734" style="338" customWidth="1"/>
    <col min="2" max="2" width="26.3438" style="338" customWidth="1"/>
    <col min="3" max="3" width="28.4922" style="338" customWidth="1"/>
    <col min="4" max="5" width="12.25" style="338" customWidth="1"/>
    <col min="6" max="6" width="13.875" style="338" customWidth="1"/>
    <col min="7" max="7" width="12.1328" style="338" customWidth="1"/>
    <col min="8" max="8" width="11.1172" style="338" customWidth="1"/>
    <col min="9" max="9" width="8.75" style="338" customWidth="1"/>
    <col min="10" max="10" hidden="1" width="11.6667" style="338" customWidth="1"/>
    <col min="11" max="12" width="14.6016" style="338" customWidth="1"/>
    <col min="13" max="13" width="12.1328" style="338" customWidth="1"/>
    <col min="14" max="15" hidden="1" width="11.6667" style="338" customWidth="1"/>
    <col min="16" max="18" width="12.1328" style="338" customWidth="1"/>
    <col min="19" max="16384" width="11.6719" style="338" customWidth="1"/>
  </cols>
  <sheetData>
    <row r="1" ht="22.6" customHeight="1">
      <c r="A1" s="27"/>
      <c r="B1" s="28"/>
      <c r="C1" s="29"/>
      <c r="D1" s="28"/>
      <c r="E1" s="28"/>
      <c r="F1" s="28"/>
      <c r="G1" s="28"/>
      <c r="H1" s="28"/>
      <c r="I1" s="28"/>
      <c r="J1" s="30"/>
      <c r="K1" s="28"/>
      <c r="L1" s="28"/>
      <c r="M1" s="28"/>
      <c r="N1" s="28"/>
      <c r="O1" s="28"/>
      <c r="P1" s="28"/>
      <c r="Q1" s="28"/>
      <c r="R1" s="31"/>
    </row>
    <row r="2" ht="36.5" customHeight="1">
      <c r="A2" t="s" s="32">
        <v>19</v>
      </c>
      <c r="B2" t="s" s="33">
        <v>20</v>
      </c>
      <c r="C2" t="s" s="34">
        <v>82</v>
      </c>
      <c r="D2" t="s" s="33">
        <v>296</v>
      </c>
      <c r="E2" t="s" s="33">
        <v>22</v>
      </c>
      <c r="F2" t="s" s="33">
        <v>23</v>
      </c>
      <c r="G2" t="s" s="34">
        <v>24</v>
      </c>
      <c r="H2" t="s" s="33">
        <v>10</v>
      </c>
      <c r="I2" t="s" s="33">
        <v>83</v>
      </c>
      <c r="J2" t="s" s="35">
        <v>26</v>
      </c>
      <c r="K2" t="s" s="33">
        <v>84</v>
      </c>
      <c r="L2" t="s" s="33">
        <v>7</v>
      </c>
      <c r="M2" t="s" s="33">
        <v>28</v>
      </c>
      <c r="N2" t="s" s="33">
        <v>29</v>
      </c>
      <c r="O2" t="s" s="33">
        <v>30</v>
      </c>
      <c r="P2" s="33"/>
      <c r="Q2" t="s" s="33">
        <v>38</v>
      </c>
      <c r="R2" t="s" s="36">
        <v>39</v>
      </c>
    </row>
    <row r="3" ht="22.5" customHeight="1">
      <c r="A3" t="s" s="37">
        <v>292</v>
      </c>
      <c r="B3" t="s" s="218">
        <v>297</v>
      </c>
      <c r="C3" t="s" s="128">
        <v>298</v>
      </c>
      <c r="D3" s="44"/>
      <c r="E3" s="44">
        <v>101982.03</v>
      </c>
      <c r="F3" s="44">
        <v>98433.47</v>
      </c>
      <c r="G3" s="44" cm="1">
        <f t="array" ref="G3">E3-F3</f>
        <v>3548.56</v>
      </c>
      <c r="H3" s="190" cm="1">
        <f t="array" ref="H3">(E3-F3)/F3</f>
        <v>0.0360503393815132</v>
      </c>
      <c r="I3" s="42">
        <v>1</v>
      </c>
      <c r="J3" s="43">
        <v>0.20426506</v>
      </c>
      <c r="K3" s="44">
        <v>98433.47</v>
      </c>
      <c r="L3" s="130">
        <v>101982.03</v>
      </c>
      <c r="M3" s="44" cm="1">
        <f t="array" ref="M3">_xlfn.IFERROR(L3-K3,"–")</f>
        <v>3548.56</v>
      </c>
      <c r="N3" s="44">
        <v>0</v>
      </c>
      <c r="O3" s="45" cm="1">
        <f t="array" ref="O3">_xlfn.IFERROR((L3-K3)/K3,"–")</f>
        <v>0.0360503393815132</v>
      </c>
      <c r="P3" s="38"/>
      <c r="Q3" s="132">
        <v>312.51</v>
      </c>
      <c r="R3" s="134">
        <v>519.1</v>
      </c>
    </row>
    <row r="4" ht="22.5" customHeight="1">
      <c r="A4" t="s" s="37">
        <v>292</v>
      </c>
      <c r="B4" t="s" s="149">
        <v>299</v>
      </c>
      <c r="C4" t="s" s="149">
        <v>298</v>
      </c>
      <c r="D4" s="141"/>
      <c r="E4" s="141">
        <v>159228.9</v>
      </c>
      <c r="F4" s="141">
        <v>157520.28</v>
      </c>
      <c r="G4" s="141" cm="1">
        <f t="array" ref="G4">E4-F4</f>
        <v>1708.62</v>
      </c>
      <c r="H4" s="191" cm="1">
        <f t="array" ref="H4">(E4-F4)/F4</f>
        <v>0.0108469842740249</v>
      </c>
      <c r="I4" s="84"/>
      <c r="J4" s="140"/>
      <c r="K4" t="str" s="84">
        <v>–</v>
      </c>
      <c r="L4" t="str" s="84">
        <v>–</v>
      </c>
      <c r="M4" t="str" s="84" cm="1">
        <f t="array" ref="M4">_xlfn.IFERROR(L4-K4,"–")</f>
        <v>–</v>
      </c>
      <c r="N4" s="84"/>
      <c r="O4" s="143"/>
      <c r="P4" s="135"/>
      <c r="Q4" s="135"/>
      <c r="R4" s="237"/>
    </row>
    <row r="5" ht="22.75" customHeight="1">
      <c r="A5" s="339"/>
      <c r="B5" s="153"/>
      <c r="C5" s="153"/>
      <c r="D5" s="114">
        <v>86532.460000000006</v>
      </c>
      <c r="E5" s="114">
        <v>72382.58</v>
      </c>
      <c r="F5" s="114" cm="1">
        <f t="array" ref="F5">F4-D5</f>
        <v>70987.820000000007</v>
      </c>
      <c r="G5" s="114" cm="1">
        <f t="array" ref="G5">E5-F5</f>
        <v>1394.76</v>
      </c>
      <c r="H5" s="194" cm="1">
        <f t="array" ref="H5">(E5-F5)/F5</f>
        <v>0.019647877621823</v>
      </c>
      <c r="I5" s="112">
        <v>1</v>
      </c>
      <c r="J5" s="113"/>
      <c r="K5" s="114">
        <v>70987.820000000007</v>
      </c>
      <c r="L5" s="152">
        <v>72382.58</v>
      </c>
      <c r="M5" s="114" cm="1">
        <f t="array" ref="M5">_xlfn.IFERROR(L5-K5,"–")</f>
        <v>1394.76</v>
      </c>
      <c r="N5" s="153"/>
      <c r="O5" s="115"/>
      <c r="P5" s="108"/>
      <c r="Q5" s="108"/>
      <c r="R5" s="241"/>
    </row>
    <row r="6" ht="22.85" customHeight="1">
      <c r="A6" t="s" s="63">
        <v>46</v>
      </c>
      <c r="B6" s="64"/>
      <c r="C6" s="65"/>
      <c r="D6" s="64"/>
      <c r="E6" s="64"/>
      <c r="F6" s="64"/>
      <c r="G6" s="64"/>
      <c r="H6" s="64"/>
      <c r="I6" s="66" cm="1">
        <f t="array" ref="I6">SUM(I3:I5)</f>
        <v>2</v>
      </c>
      <c r="J6" s="67"/>
      <c r="K6" s="68" cm="1">
        <f t="array" ref="K6">SUM(K3:K5)</f>
        <v>169421.29</v>
      </c>
      <c r="L6" s="68" cm="1">
        <f t="array" ref="L6">SUM(L3:L5)</f>
        <v>174364.61</v>
      </c>
      <c r="M6" s="68" cm="1">
        <f t="array" ref="M6">SUM(M3:M5)</f>
        <v>4943.32</v>
      </c>
      <c r="N6" s="69" cm="1">
        <f t="array" ref="N6">SUM(N3:N5)</f>
        <v>0</v>
      </c>
      <c r="O6" s="70" cm="1">
        <f t="array" ref="O6">(L6-K6)/K6</f>
        <v>0.0291776789091855</v>
      </c>
      <c r="P6" s="120" cm="1">
        <f t="array" ref="P6">H3+H4</f>
        <v>0.0468973236555381</v>
      </c>
      <c r="Q6" s="157" cm="1">
        <f t="array" ref="Q6">SUM(Q3:Q5)</f>
        <v>312.51</v>
      </c>
      <c r="R6" s="159" cm="1">
        <f t="array" ref="R6">SUM(R3:R5)</f>
        <v>519.1</v>
      </c>
    </row>
  </sheetData>
  <mergeCells count="3">
    <mergeCell ref="A4:A5"/>
    <mergeCell ref="B4:B5"/>
    <mergeCell ref="C4:C5"/>
  </mergeCells>
  <conditionalFormatting sqref="C3:C4">
    <cfRule type="cellIs" dxfId="172" priority="1" operator="lessThan" stopIfTrue="1">
      <formula>35.87</formula>
    </cfRule>
    <cfRule type="cellIs" dxfId="173" priority="2" operator="lessThan" stopIfTrue="1">
      <formula>31.88</formula>
    </cfRule>
    <cfRule type="cellIs" dxfId="174" priority="3" operator="greaterThan" stopIfTrue="1">
      <formula>43.84</formula>
    </cfRule>
    <cfRule type="cellIs" dxfId="175" priority="4" operator="greaterThan" stopIfTrue="1">
      <formula>48.79</formula>
    </cfRule>
  </conditionalFormatting>
  <conditionalFormatting sqref="E3">
    <cfRule type="cellIs" dxfId="176" priority="1" operator="between" stopIfTrue="1">
      <formula>88590.12</formula>
      <formula>78746.78</formula>
    </cfRule>
    <cfRule type="cellIs" dxfId="177" priority="2" operator="lessThanOrEqual" stopIfTrue="1">
      <formula>78746.77</formula>
    </cfRule>
    <cfRule type="cellIs" dxfId="178" priority="3" operator="between" stopIfTrue="1">
      <formula>108276.81</formula>
      <formula>118120.15</formula>
    </cfRule>
    <cfRule type="cellIs" dxfId="179" priority="4" operator="greaterThanOrEqual" stopIfTrue="1">
      <formula>118120.16</formula>
    </cfRule>
  </conditionalFormatting>
  <conditionalFormatting sqref="E4">
    <cfRule type="cellIs" dxfId="180" priority="1" operator="between" stopIfTrue="1">
      <formula>141768.25</formula>
      <formula>126016.21</formula>
    </cfRule>
    <cfRule type="cellIs" dxfId="181" priority="2" operator="lessThanOrEqual" stopIfTrue="1">
      <formula>126016.22</formula>
    </cfRule>
    <cfRule type="cellIs" dxfId="182" priority="3" operator="between" stopIfTrue="1">
      <formula>173272.3</formula>
      <formula>189024.32</formula>
    </cfRule>
    <cfRule type="cellIs" dxfId="183" priority="4" operator="greaterThanOrEqual" stopIfTrue="1">
      <formula>189024.33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58.xml><?xml version="1.0" encoding="utf-8"?>
<worksheet xmlns:r="http://schemas.openxmlformats.org/officeDocument/2006/relationships" xmlns="http://schemas.openxmlformats.org/spreadsheetml/2006/main">
  <sheetPr>
    <pageSetUpPr fitToPage="1"/>
  </sheetPr>
  <dimension ref="A2"/>
  <sheetViews>
    <sheetView workbookViewId="0" showGridLines="0" defaultGridColor="1"/>
  </sheetViews>
  <sheetFormatPr defaultColWidth="16.3333" defaultRowHeight="21.65" customHeight="1" outlineLevelRow="0" outlineLevelCol="0"/>
  <cols>
    <col min="1" max="1" width="16.3516" style="340" customWidth="1"/>
    <col min="2" max="16384" width="16.3516" style="340" customWidth="1"/>
  </cols>
  <sheetData>
    <row r="1" ht="30" customHeight="1">
      <c r="A1" t="s" s="17">
        <v>120</v>
      </c>
    </row>
    <row r="2" ht="22.75" customHeight="1">
      <c r="A2" s="161">
        <v>12</v>
      </c>
    </row>
  </sheetData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5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65" customHeight="1" outlineLevelRow="0" outlineLevelCol="0"/>
  <cols>
    <col min="1" max="5" width="16.3516" style="341" customWidth="1"/>
    <col min="6" max="16384" width="16.3516" style="341" customWidth="1"/>
  </cols>
  <sheetData>
    <row r="1" ht="30" customHeight="1">
      <c r="A1" t="s" s="17">
        <v>47</v>
      </c>
      <c r="B1" s="17"/>
      <c r="C1" s="17"/>
      <c r="D1" s="17"/>
      <c r="E1" s="17"/>
    </row>
    <row r="2" ht="22.85" customHeight="1">
      <c r="A2" s="77"/>
      <c r="B2" s="78"/>
      <c r="C2" s="78"/>
      <c r="D2" s="78"/>
      <c r="E2" s="79"/>
    </row>
    <row r="3" ht="22.75" customHeight="1">
      <c r="A3" s="80"/>
      <c r="B3" s="81"/>
      <c r="C3" s="81"/>
      <c r="D3" s="81"/>
      <c r="E3" s="82"/>
    </row>
    <row r="4" ht="22.5" customHeight="1">
      <c r="A4" s="83"/>
      <c r="B4" s="84"/>
      <c r="C4" s="84"/>
      <c r="D4" s="84"/>
      <c r="E4" s="85"/>
    </row>
    <row r="5" ht="22.5" customHeight="1">
      <c r="A5" s="83"/>
      <c r="B5" s="86"/>
      <c r="C5" s="86"/>
      <c r="D5" s="86"/>
      <c r="E5" s="87"/>
    </row>
    <row r="6" ht="22.5" customHeight="1">
      <c r="A6" s="83"/>
      <c r="B6" s="84"/>
      <c r="C6" s="84"/>
      <c r="D6" s="84"/>
      <c r="E6" s="85"/>
    </row>
    <row r="7" ht="22.5" customHeight="1">
      <c r="A7" s="83"/>
      <c r="B7" s="86"/>
      <c r="C7" s="86"/>
      <c r="D7" s="86"/>
      <c r="E7" s="87"/>
    </row>
    <row r="8" ht="22.5" customHeight="1">
      <c r="A8" s="83"/>
      <c r="B8" s="84"/>
      <c r="C8" s="84"/>
      <c r="D8" s="84"/>
      <c r="E8" s="85"/>
    </row>
    <row r="9" ht="22.5" customHeight="1">
      <c r="A9" s="83"/>
      <c r="B9" s="86"/>
      <c r="C9" s="86"/>
      <c r="D9" s="86"/>
      <c r="E9" s="87"/>
    </row>
    <row r="10" ht="22.5" customHeight="1">
      <c r="A10" s="83"/>
      <c r="B10" s="84"/>
      <c r="C10" s="84"/>
      <c r="D10" s="84"/>
      <c r="E10" s="85"/>
    </row>
    <row r="11" ht="22.6" customHeight="1">
      <c r="A11" s="88"/>
      <c r="B11" s="89"/>
      <c r="C11" s="89"/>
      <c r="D11" s="89"/>
      <c r="E11" s="90"/>
    </row>
  </sheetData>
  <mergeCells count="1">
    <mergeCell ref="A1:E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60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style="342" customWidth="1"/>
  </cols>
  <sheetData/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</worksheet>
</file>

<file path=xl/worksheets/sheet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3"/>
  <sheetViews>
    <sheetView workbookViewId="0" showGridLines="0" defaultGridColor="1"/>
  </sheetViews>
  <sheetFormatPr defaultColWidth="26.2615" defaultRowHeight="21.65" customHeight="1" outlineLevelRow="0" outlineLevelCol="0"/>
  <cols>
    <col min="1" max="1" width="26.2656" style="343" customWidth="1"/>
    <col min="2" max="2" width="28" style="343" customWidth="1"/>
    <col min="3" max="3" width="3.35156" style="343" customWidth="1"/>
    <col min="4" max="16384" width="26.2656" style="343" customWidth="1"/>
  </cols>
  <sheetData>
    <row r="1" ht="80" customHeight="1">
      <c r="A1" t="s" s="7">
        <v>196</v>
      </c>
      <c r="B1" s="8" cm="1">
        <f t="array" ref="B1">'LCI_LCA - Meu Portfólio'!F3+'LCI_LCA - Meu Portfólio'!F4</f>
        <v>2201.93</v>
      </c>
      <c r="C1" s="9"/>
    </row>
    <row r="2" ht="64" customHeight="1">
      <c r="A2" t="s" s="10">
        <v>305</v>
      </c>
      <c r="B2" s="11" cm="1">
        <f t="array" ref="B2">'LCI_LCA - Meu Portfólio'!N5-'LCI_LCA - Meu Portfólio'!O5</f>
        <v>289.4</v>
      </c>
      <c r="C2" t="str" s="12" cm="1">
        <f t="array" ref="C2">IF(B2&gt;0,"↑",IF(B2&lt;0,"↓","–"))</f>
        <v>↑</v>
      </c>
    </row>
    <row r="3" ht="64" customHeight="1">
      <c r="A3" t="s" s="13">
        <v>10</v>
      </c>
      <c r="B3" s="14" cm="1">
        <f t="array" ref="B3">'LCI_LCA - Meu Portfólio'!Q$5</f>
        <v>0.0265569613900177</v>
      </c>
      <c r="C3" t="str" s="15" cm="1">
        <f t="array" ref="C3">IF(B3="–","–",IF(B3&gt;0,"↑",IF(B3&lt;0,"↓","–")))</f>
        <v>↑</v>
      </c>
    </row>
  </sheetData>
  <mergeCells count="1">
    <mergeCell ref="B1:C1"/>
  </mergeCells>
  <conditionalFormatting sqref="B2:B3">
    <cfRule type="cellIs" dxfId="184" priority="1" operator="greaterThan" stopIfTrue="1">
      <formula>0</formula>
    </cfRule>
    <cfRule type="cellIs" dxfId="185" priority="2" operator="lessThan" stopIfTrue="1">
      <formula>0</formula>
    </cfRule>
  </conditionalFormatting>
  <conditionalFormatting sqref="C2:C3">
    <cfRule type="cellIs" dxfId="186" priority="1" operator="equal" stopIfTrue="1">
      <formula>"↑"</formula>
    </cfRule>
    <cfRule type="cellIs" dxfId="187" priority="2" operator="equal" stopIfTrue="1">
      <formula>"↓"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6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5"/>
  <sheetViews>
    <sheetView workbookViewId="0" showGridLines="0" defaultGridColor="1"/>
  </sheetViews>
  <sheetFormatPr defaultColWidth="16.3333" defaultRowHeight="21.65" customHeight="1" outlineLevelRow="0" outlineLevelCol="0"/>
  <cols>
    <col min="1" max="1" width="16.3516" style="344" customWidth="1"/>
    <col min="2" max="2" width="43.4297" style="344" customWidth="1"/>
    <col min="3" max="16384" width="16.3516" style="344" customWidth="1"/>
  </cols>
  <sheetData>
    <row r="1" ht="30" customHeight="1">
      <c r="A1" t="s" s="17">
        <v>11</v>
      </c>
      <c r="B1" s="17"/>
    </row>
    <row r="2" ht="22.6" customHeight="1">
      <c r="A2" s="18"/>
      <c r="B2" t="s" s="19">
        <v>13</v>
      </c>
    </row>
    <row r="3" ht="22.5" customHeight="1">
      <c r="A3" s="20"/>
      <c r="B3" t="s" s="21">
        <v>79</v>
      </c>
    </row>
    <row r="4" ht="22.5" customHeight="1">
      <c r="A4" s="22"/>
      <c r="B4" t="s" s="23">
        <v>15</v>
      </c>
    </row>
    <row r="5" ht="22.6" customHeight="1">
      <c r="A5" s="24"/>
      <c r="B5" t="s" s="25">
        <v>16</v>
      </c>
    </row>
  </sheetData>
  <mergeCells count="1">
    <mergeCell ref="A1:B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5"/>
  <sheetViews>
    <sheetView workbookViewId="0" showGridLines="0" defaultGridColor="1">
      <pane topLeftCell="B1" xSplit="1" ySplit="0" activePane="topRight" state="frozen"/>
    </sheetView>
  </sheetViews>
  <sheetFormatPr defaultColWidth="11.6667" defaultRowHeight="21.65" customHeight="1" outlineLevelRow="0" outlineLevelCol="0"/>
  <cols>
    <col min="1" max="1" width="10.2734" style="345" customWidth="1"/>
    <col min="2" max="2" width="26.3438" style="345" customWidth="1"/>
    <col min="3" max="5" width="28.4922" style="345" customWidth="1"/>
    <col min="6" max="6" width="12.25" style="345" customWidth="1"/>
    <col min="7" max="7" width="11.8047" style="345" customWidth="1"/>
    <col min="8" max="8" width="12.1328" style="345" customWidth="1"/>
    <col min="9" max="9" width="11.1172" style="345" customWidth="1"/>
    <col min="10" max="10" width="8.75" style="345" customWidth="1"/>
    <col min="11" max="11" hidden="1" width="11.6667" style="345" customWidth="1"/>
    <col min="12" max="13" width="14.6016" style="345" customWidth="1"/>
    <col min="14" max="14" width="12.1328" style="345" customWidth="1"/>
    <col min="15" max="16" hidden="1" width="11.6667" style="345" customWidth="1"/>
    <col min="17" max="19" width="12.1328" style="345" customWidth="1"/>
    <col min="20" max="16384" width="11.6719" style="345" customWidth="1"/>
  </cols>
  <sheetData>
    <row r="1" ht="22.6" customHeight="1">
      <c r="A1" s="27"/>
      <c r="B1" s="28"/>
      <c r="C1" s="29"/>
      <c r="D1" s="29"/>
      <c r="E1" s="29"/>
      <c r="F1" s="28"/>
      <c r="G1" s="28"/>
      <c r="H1" s="28"/>
      <c r="I1" s="28"/>
      <c r="J1" s="28"/>
      <c r="K1" s="30"/>
      <c r="L1" s="28"/>
      <c r="M1" s="28"/>
      <c r="N1" s="28"/>
      <c r="O1" s="28"/>
      <c r="P1" s="28"/>
      <c r="Q1" s="28"/>
      <c r="R1" s="28"/>
      <c r="S1" s="31"/>
    </row>
    <row r="2" ht="36.5" customHeight="1">
      <c r="A2" t="s" s="32">
        <v>19</v>
      </c>
      <c r="B2" t="s" s="33">
        <v>20</v>
      </c>
      <c r="C2" t="s" s="34">
        <v>210</v>
      </c>
      <c r="D2" t="s" s="34">
        <v>251</v>
      </c>
      <c r="E2" t="s" s="34">
        <v>82</v>
      </c>
      <c r="F2" t="s" s="33">
        <v>22</v>
      </c>
      <c r="G2" t="s" s="33">
        <v>23</v>
      </c>
      <c r="H2" t="s" s="34">
        <v>24</v>
      </c>
      <c r="I2" t="s" s="33">
        <v>10</v>
      </c>
      <c r="J2" t="s" s="33">
        <v>83</v>
      </c>
      <c r="K2" t="s" s="35">
        <v>26</v>
      </c>
      <c r="L2" t="s" s="33">
        <v>84</v>
      </c>
      <c r="M2" t="s" s="33">
        <v>7</v>
      </c>
      <c r="N2" t="s" s="33">
        <v>28</v>
      </c>
      <c r="O2" t="s" s="33">
        <v>29</v>
      </c>
      <c r="P2" t="s" s="33">
        <v>30</v>
      </c>
      <c r="Q2" s="33"/>
      <c r="R2" t="s" s="33">
        <v>38</v>
      </c>
      <c r="S2" t="s" s="36">
        <v>39</v>
      </c>
    </row>
    <row r="3" ht="22.5" customHeight="1">
      <c r="A3" t="s" s="37">
        <v>308</v>
      </c>
      <c r="B3" t="s" s="218">
        <v>309</v>
      </c>
      <c r="C3" s="219">
        <v>46062</v>
      </c>
      <c r="D3" s="219">
        <v>46149</v>
      </c>
      <c r="E3" t="s" s="128">
        <v>224</v>
      </c>
      <c r="F3" s="44">
        <v>1119.55</v>
      </c>
      <c r="G3" s="44">
        <v>1101.83</v>
      </c>
      <c r="H3" s="44" cm="1">
        <f t="array" ref="H3">F3-G3</f>
        <v>17.72</v>
      </c>
      <c r="I3" s="190" cm="1">
        <f t="array" ref="I3">(F3-G3)/G3</f>
        <v>0.0160823357505241</v>
      </c>
      <c r="J3" s="42">
        <v>10</v>
      </c>
      <c r="K3" s="43">
        <v>0.20426506</v>
      </c>
      <c r="L3" s="44">
        <v>11018.3</v>
      </c>
      <c r="M3" s="130">
        <v>11195.5</v>
      </c>
      <c r="N3" s="44" cm="1">
        <f t="array" ref="N3">_xlfn.IFERROR(M3-L3,"–")</f>
        <v>177.2</v>
      </c>
      <c r="O3" s="44">
        <v>0</v>
      </c>
      <c r="P3" s="45" cm="1">
        <f t="array" ref="P3">_xlfn.IFERROR((M3-L3)/L3,"–")</f>
        <v>0.0160823357505241</v>
      </c>
      <c r="Q3" s="38"/>
      <c r="R3" s="132">
        <v>312.51</v>
      </c>
      <c r="S3" s="134">
        <v>519.1</v>
      </c>
    </row>
    <row r="4" ht="22.75" customHeight="1">
      <c r="A4" t="s" s="48">
        <v>310</v>
      </c>
      <c r="B4" t="s" s="325">
        <v>311</v>
      </c>
      <c r="C4" s="327">
        <v>46080</v>
      </c>
      <c r="D4" s="327">
        <v>46174</v>
      </c>
      <c r="E4" t="s" s="346">
        <v>312</v>
      </c>
      <c r="F4" s="56">
        <v>1082.38</v>
      </c>
      <c r="G4" s="56">
        <v>1071.16</v>
      </c>
      <c r="H4" s="56" cm="1">
        <f t="array" ref="H4">F4-G4</f>
        <v>11.22</v>
      </c>
      <c r="I4" s="268" cm="1">
        <f t="array" ref="I4">(F4-G4)/G4</f>
        <v>0.0104746256394936</v>
      </c>
      <c r="J4" s="329">
        <v>10</v>
      </c>
      <c r="K4" s="55"/>
      <c r="L4" s="56">
        <v>10711.6</v>
      </c>
      <c r="M4" s="330">
        <v>10823.8</v>
      </c>
      <c r="N4" s="56" cm="1">
        <f t="array" ref="N4">_xlfn.IFERROR(M4-L4,"–")</f>
        <v>112.2</v>
      </c>
      <c r="O4" s="269"/>
      <c r="P4" s="57"/>
      <c r="Q4" s="49"/>
      <c r="R4" s="49"/>
      <c r="S4" s="331"/>
    </row>
    <row r="5" ht="22.85" customHeight="1">
      <c r="A5" t="s" s="63">
        <v>46</v>
      </c>
      <c r="B5" s="64"/>
      <c r="C5" s="65"/>
      <c r="D5" s="65"/>
      <c r="E5" s="65"/>
      <c r="F5" s="64"/>
      <c r="G5" s="64"/>
      <c r="H5" s="64"/>
      <c r="I5" s="64"/>
      <c r="J5" s="66" cm="1">
        <f t="array" ref="J5">SUM(J3:J4)</f>
        <v>20</v>
      </c>
      <c r="K5" s="67"/>
      <c r="L5" s="68" cm="1">
        <f t="array" ref="L5">SUM(L3:L4)</f>
        <v>21729.9</v>
      </c>
      <c r="M5" s="156" cm="1">
        <f t="array" ref="M5">SUM(M3:M4)</f>
        <v>22019.3</v>
      </c>
      <c r="N5" s="68" cm="1">
        <f t="array" ref="N5">SUM(N3:N4)</f>
        <v>289.4</v>
      </c>
      <c r="O5" s="69" cm="1">
        <f t="array" ref="O5">SUM(O3:O4)</f>
        <v>0</v>
      </c>
      <c r="P5" s="70" cm="1">
        <f t="array" ref="P5">(M5-L5)/L5</f>
        <v>0.0133180548460876</v>
      </c>
      <c r="Q5" s="120" cm="1">
        <f t="array" ref="Q5">I3+I4</f>
        <v>0.0265569613900177</v>
      </c>
      <c r="R5" s="157" cm="1">
        <f t="array" ref="R5">SUM(R3:R4)</f>
        <v>312.51</v>
      </c>
      <c r="S5" s="159" cm="1">
        <f t="array" ref="S5">SUM(S3:S4)</f>
        <v>519.1</v>
      </c>
    </row>
  </sheetData>
  <conditionalFormatting sqref="E3 C4:E4">
    <cfRule type="cellIs" dxfId="188" priority="1" operator="lessThan" stopIfTrue="1">
      <formula>35.87</formula>
    </cfRule>
    <cfRule type="cellIs" dxfId="189" priority="2" operator="lessThan" stopIfTrue="1">
      <formula>31.88</formula>
    </cfRule>
    <cfRule type="cellIs" dxfId="190" priority="3" operator="greaterThan" stopIfTrue="1">
      <formula>43.84</formula>
    </cfRule>
    <cfRule type="cellIs" dxfId="191" priority="4" operator="greaterThan" stopIfTrue="1">
      <formula>48.79</formula>
    </cfRule>
  </conditionalFormatting>
  <conditionalFormatting sqref="F3">
    <cfRule type="cellIs" dxfId="192" priority="1" operator="between" stopIfTrue="1">
      <formula>991.64</formula>
      <formula>881.46</formula>
    </cfRule>
    <cfRule type="cellIs" dxfId="193" priority="2" operator="lessThanOrEqual" stopIfTrue="1">
      <formula>881.46</formula>
    </cfRule>
    <cfRule type="cellIs" dxfId="194" priority="3" operator="between" stopIfTrue="1">
      <formula>1212.01</formula>
      <formula>1322.18</formula>
    </cfRule>
    <cfRule type="cellIs" dxfId="195" priority="4" operator="greaterThanOrEqual" stopIfTrue="1">
      <formula>1322.19</formula>
    </cfRule>
  </conditionalFormatting>
  <conditionalFormatting sqref="F4">
    <cfRule type="cellIs" dxfId="196" priority="1" operator="between" stopIfTrue="1">
      <formula>964.04</formula>
      <formula>856.91</formula>
    </cfRule>
    <cfRule type="cellIs" dxfId="197" priority="2" operator="lessThanOrEqual" stopIfTrue="1">
      <formula>856.92</formula>
    </cfRule>
    <cfRule type="cellIs" dxfId="198" priority="3" operator="between" stopIfTrue="1">
      <formula>1178.27</formula>
      <formula>1285.38</formula>
    </cfRule>
    <cfRule type="cellIs" dxfId="199" priority="4" operator="greaterThanOrEqual" stopIfTrue="1">
      <formula>1285.39</formula>
    </cfRule>
  </conditionalFormatting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64.xml><?xml version="1.0" encoding="utf-8"?>
<worksheet xmlns:r="http://schemas.openxmlformats.org/officeDocument/2006/relationships" xmlns="http://schemas.openxmlformats.org/spreadsheetml/2006/main">
  <sheetPr>
    <pageSetUpPr fitToPage="1"/>
  </sheetPr>
  <dimension ref="A2"/>
  <sheetViews>
    <sheetView workbookViewId="0" showGridLines="0" defaultGridColor="1"/>
  </sheetViews>
  <sheetFormatPr defaultColWidth="16.3333" defaultRowHeight="21.65" customHeight="1" outlineLevelRow="0" outlineLevelCol="0"/>
  <cols>
    <col min="1" max="1" width="16.3516" style="347" customWidth="1"/>
    <col min="2" max="16384" width="16.3516" style="347" customWidth="1"/>
  </cols>
  <sheetData>
    <row r="1" ht="30" customHeight="1">
      <c r="A1" t="s" s="17">
        <v>120</v>
      </c>
    </row>
    <row r="2" ht="22.75" customHeight="1">
      <c r="A2" s="161">
        <v>12</v>
      </c>
    </row>
  </sheetData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6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65" customHeight="1" outlineLevelRow="0" outlineLevelCol="0"/>
  <cols>
    <col min="1" max="5" width="16.3516" style="348" customWidth="1"/>
    <col min="6" max="16384" width="16.3516" style="348" customWidth="1"/>
  </cols>
  <sheetData>
    <row r="1" ht="30" customHeight="1">
      <c r="A1" t="s" s="17">
        <v>47</v>
      </c>
      <c r="B1" s="17"/>
      <c r="C1" s="17"/>
      <c r="D1" s="17"/>
      <c r="E1" s="17"/>
    </row>
    <row r="2" ht="22.85" customHeight="1">
      <c r="A2" s="77"/>
      <c r="B2" s="78"/>
      <c r="C2" s="78"/>
      <c r="D2" s="78"/>
      <c r="E2" s="79"/>
    </row>
    <row r="3" ht="22.75" customHeight="1">
      <c r="A3" s="80"/>
      <c r="B3" s="81"/>
      <c r="C3" s="81"/>
      <c r="D3" s="81"/>
      <c r="E3" s="82"/>
    </row>
    <row r="4" ht="22.5" customHeight="1">
      <c r="A4" s="83"/>
      <c r="B4" s="84"/>
      <c r="C4" s="84"/>
      <c r="D4" s="84"/>
      <c r="E4" s="85"/>
    </row>
    <row r="5" ht="22.5" customHeight="1">
      <c r="A5" s="83"/>
      <c r="B5" s="86"/>
      <c r="C5" s="86"/>
      <c r="D5" s="86"/>
      <c r="E5" s="87"/>
    </row>
    <row r="6" ht="22.5" customHeight="1">
      <c r="A6" s="83"/>
      <c r="B6" s="84"/>
      <c r="C6" s="84"/>
      <c r="D6" s="84"/>
      <c r="E6" s="85"/>
    </row>
    <row r="7" ht="22.5" customHeight="1">
      <c r="A7" s="83"/>
      <c r="B7" s="86"/>
      <c r="C7" s="86"/>
      <c r="D7" s="86"/>
      <c r="E7" s="87"/>
    </row>
    <row r="8" ht="22.5" customHeight="1">
      <c r="A8" s="83"/>
      <c r="B8" s="84"/>
      <c r="C8" s="84"/>
      <c r="D8" s="84"/>
      <c r="E8" s="85"/>
    </row>
    <row r="9" ht="22.5" customHeight="1">
      <c r="A9" s="83"/>
      <c r="B9" s="86"/>
      <c r="C9" s="86"/>
      <c r="D9" s="86"/>
      <c r="E9" s="87"/>
    </row>
    <row r="10" ht="22.5" customHeight="1">
      <c r="A10" s="83"/>
      <c r="B10" s="84"/>
      <c r="C10" s="84"/>
      <c r="D10" s="84"/>
      <c r="E10" s="85"/>
    </row>
    <row r="11" ht="22.6" customHeight="1">
      <c r="A11" s="88"/>
      <c r="B11" s="89"/>
      <c r="C11" s="89"/>
      <c r="D11" s="89"/>
      <c r="E11" s="90"/>
    </row>
  </sheetData>
  <mergeCells count="1">
    <mergeCell ref="A1:E1"/>
  </mergeCells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</worksheet>
</file>

<file path=xl/worksheets/sheet6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style="349" customWidth="1"/>
  </cols>
  <sheetData/>
  <pageMargins left="0.416667" right="0.416667" top="0.25" bottom="0.25" header="0.25" footer="0.25"/>
  <pageSetup firstPageNumber="1" fitToHeight="1" fitToWidth="1" scale="100" useFirstPageNumber="0" orientation="landscape" pageOrder="downThenOver"/>
  <headerFooter>
    <oddFooter>&amp;C&amp;"Avenir Next Regular,Regular"&amp;12&amp;K000000&amp;P</oddFooter>
  </headerFooter>
  <drawing r:id="rId1"/>
</worksheet>
</file>

<file path=xl/worksheets/sheet6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Q12"/>
  <sheetViews>
    <sheetView workbookViewId="0" showGridLines="0" defaultGridColor="1">
      <pane topLeftCell="A3" xSplit="0" ySplit="2" activePane="bottomLeft" state="frozen"/>
    </sheetView>
  </sheetViews>
  <sheetFormatPr defaultColWidth="16.3333" defaultRowHeight="21.65" customHeight="1" outlineLevelRow="0" outlineLevelCol="0"/>
  <cols>
    <col min="1" max="17" width="16.3516" style="350" customWidth="1"/>
    <col min="18" max="16384" width="16.3516" style="350" customWidth="1"/>
  </cols>
  <sheetData>
    <row r="1" ht="30" customHeight="1">
      <c r="A1" t="s" s="17">
        <v>317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ht="22.85" customHeight="1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9"/>
    </row>
    <row r="3" ht="22.75" customHeight="1">
      <c r="A3" s="351"/>
      <c r="B3" t="s" s="352">
        <v>319</v>
      </c>
      <c r="C3" t="s" s="352">
        <v>320</v>
      </c>
      <c r="D3" t="s" s="352">
        <v>321</v>
      </c>
      <c r="E3" t="s" s="352">
        <v>322</v>
      </c>
      <c r="F3" t="s" s="352">
        <v>323</v>
      </c>
      <c r="G3" t="s" s="352">
        <v>324</v>
      </c>
      <c r="H3" s="81"/>
      <c r="I3" s="81"/>
      <c r="J3" s="81"/>
      <c r="K3" s="81"/>
      <c r="L3" s="81"/>
      <c r="M3" s="81"/>
      <c r="N3" s="81"/>
      <c r="O3" s="81"/>
      <c r="P3" s="81"/>
      <c r="Q3" s="353"/>
    </row>
    <row r="4" ht="22.5" customHeight="1">
      <c r="A4" s="354"/>
      <c r="B4" s="84"/>
      <c r="C4" s="84"/>
      <c r="D4" s="84"/>
      <c r="E4" s="84"/>
      <c r="F4" s="84"/>
      <c r="G4" t="s" s="136">
        <v>325</v>
      </c>
      <c r="H4" s="84"/>
      <c r="I4" t="s" s="136">
        <v>326</v>
      </c>
      <c r="J4" t="s" s="136">
        <v>327</v>
      </c>
      <c r="K4" t="s" s="136">
        <v>328</v>
      </c>
      <c r="L4" t="s" s="136">
        <v>329</v>
      </c>
      <c r="M4" s="84"/>
      <c r="N4" t="s" s="136">
        <v>330</v>
      </c>
      <c r="O4" s="84"/>
      <c r="P4" t="s" s="149">
        <v>331</v>
      </c>
      <c r="Q4" t="s" s="355">
        <v>332</v>
      </c>
    </row>
    <row r="5" ht="36.5" customHeight="1">
      <c r="A5" s="356"/>
      <c r="B5" s="86"/>
      <c r="C5" s="86"/>
      <c r="D5" s="86"/>
      <c r="E5" s="86"/>
      <c r="F5" s="86"/>
      <c r="G5" t="s" s="128">
        <v>333</v>
      </c>
      <c r="H5" t="s" s="128">
        <v>334</v>
      </c>
      <c r="I5" s="86"/>
      <c r="J5" s="86"/>
      <c r="K5" s="86"/>
      <c r="L5" t="s" s="128">
        <v>335</v>
      </c>
      <c r="M5" t="s" s="128">
        <v>336</v>
      </c>
      <c r="N5" t="s" s="128">
        <v>337</v>
      </c>
      <c r="O5" t="s" s="128">
        <v>338</v>
      </c>
      <c r="P5" s="86"/>
      <c r="Q5" s="87"/>
    </row>
    <row r="6" ht="22.5" customHeight="1">
      <c r="A6" t="s" s="357">
        <v>339</v>
      </c>
      <c r="B6" s="254">
        <v>46079</v>
      </c>
      <c r="C6" s="139">
        <v>28.74</v>
      </c>
      <c r="D6" s="141">
        <v>1739.68</v>
      </c>
      <c r="E6" s="141" cm="1">
        <f t="array" ref="E6">C6*D6</f>
        <v>49998.4032</v>
      </c>
      <c r="F6" t="s" s="136">
        <v>340</v>
      </c>
      <c r="G6" s="358" cm="1">
        <f t="array" ref="G6">IF(J6&gt;0,(1+H6)^(365/J6)-1,"")</f>
        <v>0.111554322717042</v>
      </c>
      <c r="H6" s="359" cm="1">
        <f t="array" ref="H6">IF(E6=0,0,I6/E6-1)</f>
        <v>0.0207854318035501</v>
      </c>
      <c r="I6" s="141" cm="1">
        <f t="array" ref="I6">C6*B9</f>
        <v>51037.6416</v>
      </c>
      <c r="J6" s="255" cm="1">
        <f t="array" ref="J6">DATEDIF(B6,TODAY(),"d")</f>
        <v>71</v>
      </c>
      <c r="K6" s="138" cm="1">
        <f t="array" ref="K6">IF(J6&lt;=180,22.5%,IF(J6&lt;=360,20%,IF(J6&lt;=720,17.5%,15%)))</f>
        <v>0.225</v>
      </c>
      <c r="L6" s="141" cm="1">
        <f t="array" ref="L6">MAX(0,(I6-E6)*K6)</f>
        <v>233.82864</v>
      </c>
      <c r="M6" s="141" cm="1">
        <f t="array" ref="M6">MAX(0,(I6-E6)*B10)</f>
        <v>0</v>
      </c>
      <c r="N6" s="141" cm="1">
        <f t="array" ref="N6">I6*B11*(J6/365)</f>
        <v>19.855740019726</v>
      </c>
      <c r="O6" s="141" cm="1">
        <f t="array" ref="O6">J6*B12*(K6/365)</f>
        <v>0</v>
      </c>
      <c r="P6" s="141" cm="1">
        <f t="array" ref="P6">I6-L6-M6-N6-O6</f>
        <v>50783.9572199803</v>
      </c>
      <c r="Q6" s="169" cm="1">
        <f t="array" ref="Q6">P6-E7</f>
        <v>785.5540199803</v>
      </c>
    </row>
    <row r="7" ht="22.5" customHeight="1">
      <c r="A7" s="356"/>
      <c r="B7" s="86"/>
      <c r="C7" s="86"/>
      <c r="D7" s="86"/>
      <c r="E7" s="44" cm="1">
        <f t="array" ref="E7">SUM(E6:E6)</f>
        <v>49998.4032</v>
      </c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7"/>
    </row>
    <row r="8" ht="22.5" customHeight="1">
      <c r="A8" s="354"/>
      <c r="B8" s="84"/>
      <c r="C8" s="84"/>
      <c r="D8" s="84"/>
      <c r="E8" s="141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5"/>
    </row>
    <row r="9" ht="22.5" customHeight="1">
      <c r="A9" t="s" s="360">
        <v>341</v>
      </c>
      <c r="B9" s="44">
        <v>1775.84</v>
      </c>
      <c r="C9" s="86"/>
      <c r="D9" s="86"/>
      <c r="E9" s="44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7"/>
    </row>
    <row r="10" ht="22.5" customHeight="1">
      <c r="A10" t="s" s="361">
        <v>336</v>
      </c>
      <c r="B10" s="146" cm="1">
        <f t="array" ref="B10">IF(J6&gt;=30,0,CHOOSE(J6,96%,93%,90%,86%,83%,80%,76%,73%,70%,66%,63%,60%,56%,53%,50%,46%,43%,40%,36%,33%,30%,26%,23%,20%,16%,13%,10%,6%,3%))</f>
        <v>0</v>
      </c>
      <c r="C10" s="84"/>
      <c r="D10" s="84"/>
      <c r="E10" s="141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5"/>
    </row>
    <row r="11" ht="22.5" customHeight="1">
      <c r="A11" t="s" s="360">
        <v>342</v>
      </c>
      <c r="B11" s="362">
        <v>0.002</v>
      </c>
      <c r="C11" s="86"/>
      <c r="D11" s="86"/>
      <c r="E11" s="44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7"/>
    </row>
    <row r="12" ht="22.6" customHeight="1">
      <c r="A12" t="s" s="363">
        <v>343</v>
      </c>
      <c r="B12" s="364">
        <v>0</v>
      </c>
      <c r="C12" s="278"/>
      <c r="D12" s="278"/>
      <c r="E12" s="365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8"/>
      <c r="Q12" s="279"/>
    </row>
  </sheetData>
  <mergeCells count="16">
    <mergeCell ref="A1:Q1"/>
    <mergeCell ref="G4:H4"/>
    <mergeCell ref="I4:I5"/>
    <mergeCell ref="J4:J5"/>
    <mergeCell ref="K4:K5"/>
    <mergeCell ref="G3:P3"/>
    <mergeCell ref="L4:M4"/>
    <mergeCell ref="N4:O4"/>
    <mergeCell ref="B3:B5"/>
    <mergeCell ref="C3:C5"/>
    <mergeCell ref="D3:D5"/>
    <mergeCell ref="E3:E5"/>
    <mergeCell ref="F3:F5"/>
    <mergeCell ref="P4:P5"/>
    <mergeCell ref="A3:A5"/>
    <mergeCell ref="Q4:Q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  <drawing r:id="rId1"/>
  <legacyDrawing r:id="rId2"/>
</worksheet>
</file>

<file path=xl/worksheets/sheet6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Q12"/>
  <sheetViews>
    <sheetView workbookViewId="0" showGridLines="0" defaultGridColor="1">
      <pane topLeftCell="A3" xSplit="0" ySplit="2" activePane="bottomLeft" state="frozen"/>
    </sheetView>
  </sheetViews>
  <sheetFormatPr defaultColWidth="16.3333" defaultRowHeight="21.65" customHeight="1" outlineLevelRow="0" outlineLevelCol="0"/>
  <cols>
    <col min="1" max="17" width="16.3516" style="366" customWidth="1"/>
    <col min="18" max="16384" width="16.3516" style="366" customWidth="1"/>
  </cols>
  <sheetData>
    <row r="1" ht="30" customHeight="1">
      <c r="A1" t="s" s="17">
        <v>344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ht="22.85" customHeight="1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9"/>
    </row>
    <row r="3" ht="22.75" customHeight="1">
      <c r="A3" s="351"/>
      <c r="B3" t="s" s="352">
        <v>319</v>
      </c>
      <c r="C3" t="s" s="352">
        <v>320</v>
      </c>
      <c r="D3" t="s" s="352">
        <v>321</v>
      </c>
      <c r="E3" t="s" s="352">
        <v>322</v>
      </c>
      <c r="F3" t="s" s="352">
        <v>323</v>
      </c>
      <c r="G3" t="s" s="352">
        <v>324</v>
      </c>
      <c r="H3" s="81"/>
      <c r="I3" s="81"/>
      <c r="J3" s="81"/>
      <c r="K3" s="81"/>
      <c r="L3" s="81"/>
      <c r="M3" s="81"/>
      <c r="N3" s="81"/>
      <c r="O3" s="81"/>
      <c r="P3" s="81"/>
      <c r="Q3" s="353"/>
    </row>
    <row r="4" ht="22.5" customHeight="1">
      <c r="A4" s="354"/>
      <c r="B4" s="84"/>
      <c r="C4" s="84"/>
      <c r="D4" s="84"/>
      <c r="E4" s="84"/>
      <c r="F4" s="84"/>
      <c r="G4" t="s" s="136">
        <v>325</v>
      </c>
      <c r="H4" s="84"/>
      <c r="I4" t="s" s="136">
        <v>326</v>
      </c>
      <c r="J4" t="s" s="136">
        <v>327</v>
      </c>
      <c r="K4" t="s" s="136">
        <v>328</v>
      </c>
      <c r="L4" t="s" s="136">
        <v>329</v>
      </c>
      <c r="M4" s="84"/>
      <c r="N4" t="s" s="136">
        <v>330</v>
      </c>
      <c r="O4" s="84"/>
      <c r="P4" t="s" s="149">
        <v>331</v>
      </c>
      <c r="Q4" t="s" s="355">
        <v>332</v>
      </c>
    </row>
    <row r="5" ht="36.5" customHeight="1">
      <c r="A5" s="356"/>
      <c r="B5" s="86"/>
      <c r="C5" s="86"/>
      <c r="D5" s="86"/>
      <c r="E5" s="86"/>
      <c r="F5" s="86"/>
      <c r="G5" t="s" s="128">
        <v>333</v>
      </c>
      <c r="H5" t="s" s="128">
        <v>334</v>
      </c>
      <c r="I5" s="86"/>
      <c r="J5" s="86"/>
      <c r="K5" s="86"/>
      <c r="L5" t="s" s="128">
        <v>335</v>
      </c>
      <c r="M5" t="s" s="128">
        <v>336</v>
      </c>
      <c r="N5" t="s" s="128">
        <v>337</v>
      </c>
      <c r="O5" t="s" s="128">
        <v>338</v>
      </c>
      <c r="P5" s="86"/>
      <c r="Q5" s="87"/>
    </row>
    <row r="6" ht="22.5" customHeight="1">
      <c r="A6" t="s" s="357">
        <v>346</v>
      </c>
      <c r="B6" s="254">
        <v>46097</v>
      </c>
      <c r="C6" s="139">
        <v>22.72</v>
      </c>
      <c r="D6" s="141">
        <v>885.28</v>
      </c>
      <c r="E6" s="141" cm="1">
        <f t="array" ref="E6">C6*D6</f>
        <v>20113.5616</v>
      </c>
      <c r="F6" t="s" s="136">
        <v>347</v>
      </c>
      <c r="G6" s="358" cm="1">
        <f t="array" ref="G6">IF(J6&gt;0,(1+H6)^(365/J6)-1,"")</f>
        <v>0.490165383139177</v>
      </c>
      <c r="H6" s="359" cm="1">
        <f t="array" ref="H6">IF(E6=0,0,I6/E6-1)</f>
        <v>0.0596308512560998</v>
      </c>
      <c r="I6" s="141" cm="1">
        <f t="array" ref="I6">C6*B9</f>
        <v>21312.9504</v>
      </c>
      <c r="J6" s="255" cm="1">
        <f t="array" ref="J6">DATEDIF(B6,TODAY(),"d")</f>
        <v>53</v>
      </c>
      <c r="K6" s="138" cm="1">
        <f t="array" ref="K6">IF(J6&lt;=180,22.5%,IF(J6&lt;=360,20%,IF(J6&lt;=720,17.5%,15%)))</f>
        <v>0.225</v>
      </c>
      <c r="L6" s="141" cm="1">
        <f t="array" ref="L6">MAX(0,(I6-E6)*K6)</f>
        <v>269.86248</v>
      </c>
      <c r="M6" s="141" cm="1">
        <f t="array" ref="M6">MAX(0,(I6-E6)*B10)</f>
        <v>0</v>
      </c>
      <c r="N6" s="141" cm="1">
        <f t="array" ref="N6">I6*B11*(J6/365)</f>
        <v>6.18951436273973</v>
      </c>
      <c r="O6" s="141" cm="1">
        <f t="array" ref="O6">J6*B12*(K6/365)</f>
        <v>0</v>
      </c>
      <c r="P6" s="141" cm="1">
        <f t="array" ref="P6">I6-L6-M6-N6-O6</f>
        <v>21036.8984056373</v>
      </c>
      <c r="Q6" s="169" cm="1">
        <f t="array" ref="Q6">P6-E7</f>
        <v>923.3368056373</v>
      </c>
    </row>
    <row r="7" ht="22.5" customHeight="1">
      <c r="A7" s="356"/>
      <c r="B7" s="86"/>
      <c r="C7" s="86"/>
      <c r="D7" s="86"/>
      <c r="E7" s="44" cm="1">
        <f t="array" ref="E7">SUM(E6:E6)</f>
        <v>20113.5616</v>
      </c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7"/>
    </row>
    <row r="8" ht="22.5" customHeight="1">
      <c r="A8" s="354"/>
      <c r="B8" s="84"/>
      <c r="C8" s="84"/>
      <c r="D8" s="84"/>
      <c r="E8" s="141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5"/>
    </row>
    <row r="9" ht="22.5" customHeight="1">
      <c r="A9" t="s" s="360">
        <v>341</v>
      </c>
      <c r="B9" s="44">
        <v>938.0700000000001</v>
      </c>
      <c r="C9" s="86"/>
      <c r="D9" s="86"/>
      <c r="E9" s="44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7"/>
    </row>
    <row r="10" ht="22.5" customHeight="1">
      <c r="A10" t="s" s="361">
        <v>336</v>
      </c>
      <c r="B10" s="146" cm="1">
        <f t="array" ref="B10">IF(J6&gt;=30,0,CHOOSE(J6,96%,93%,90%,86%,83%,80%,76%,73%,70%,66%,63%,60%,56%,53%,50%,46%,43%,40%,36%,33%,30%,26%,23%,20%,16%,13%,10%,6%,3%))</f>
        <v>0</v>
      </c>
      <c r="C10" s="84"/>
      <c r="D10" s="84"/>
      <c r="E10" s="141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5"/>
    </row>
    <row r="11" ht="22.5" customHeight="1">
      <c r="A11" t="s" s="360">
        <v>342</v>
      </c>
      <c r="B11" s="362">
        <v>0.002</v>
      </c>
      <c r="C11" s="86"/>
      <c r="D11" s="86"/>
      <c r="E11" s="44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7"/>
    </row>
    <row r="12" ht="22.6" customHeight="1">
      <c r="A12" t="s" s="363">
        <v>343</v>
      </c>
      <c r="B12" s="364">
        <v>0</v>
      </c>
      <c r="C12" s="278"/>
      <c r="D12" s="278"/>
      <c r="E12" s="365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8"/>
      <c r="Q12" s="279"/>
    </row>
  </sheetData>
  <mergeCells count="16">
    <mergeCell ref="A1:Q1"/>
    <mergeCell ref="G4:H4"/>
    <mergeCell ref="I4:I5"/>
    <mergeCell ref="J4:J5"/>
    <mergeCell ref="K4:K5"/>
    <mergeCell ref="G3:P3"/>
    <mergeCell ref="L4:M4"/>
    <mergeCell ref="N4:O4"/>
    <mergeCell ref="B3:B5"/>
    <mergeCell ref="C3:C5"/>
    <mergeCell ref="D3:D5"/>
    <mergeCell ref="E3:E5"/>
    <mergeCell ref="F3:F5"/>
    <mergeCell ref="P4:P5"/>
    <mergeCell ref="A3:A5"/>
    <mergeCell ref="Q4:Q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  <drawing r:id="rId1"/>
  <legacyDrawing r:id="rId2"/>
</worksheet>
</file>

<file path=xl/worksheets/sheet6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12"/>
  <sheetViews>
    <sheetView workbookViewId="0" showGridLines="0" defaultGridColor="1">
      <pane topLeftCell="A3" xSplit="0" ySplit="2" activePane="bottomLeft" state="frozen"/>
    </sheetView>
  </sheetViews>
  <sheetFormatPr defaultColWidth="16.3333" defaultRowHeight="21.65" customHeight="1" outlineLevelRow="0" outlineLevelCol="0"/>
  <cols>
    <col min="1" max="16" width="16.3516" style="367" customWidth="1"/>
    <col min="17" max="16384" width="16.3516" style="367" customWidth="1"/>
  </cols>
  <sheetData>
    <row r="1" ht="30" customHeight="1">
      <c r="A1" t="s" s="17">
        <v>348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ht="22.85" customHeight="1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9"/>
    </row>
    <row r="3" ht="22.75" customHeight="1">
      <c r="A3" s="351"/>
      <c r="B3" t="s" s="352">
        <v>319</v>
      </c>
      <c r="C3" t="s" s="352">
        <v>320</v>
      </c>
      <c r="D3" t="s" s="352">
        <v>321</v>
      </c>
      <c r="E3" t="s" s="352">
        <v>322</v>
      </c>
      <c r="F3" t="s" s="352">
        <v>323</v>
      </c>
      <c r="G3" t="s" s="352">
        <v>324</v>
      </c>
      <c r="H3" s="81"/>
      <c r="I3" s="81"/>
      <c r="J3" s="81"/>
      <c r="K3" s="81"/>
      <c r="L3" s="81"/>
      <c r="M3" s="81"/>
      <c r="N3" s="81"/>
      <c r="O3" s="81"/>
      <c r="P3" s="82"/>
    </row>
    <row r="4" ht="22.5" customHeight="1">
      <c r="A4" s="354"/>
      <c r="B4" s="84"/>
      <c r="C4" s="84"/>
      <c r="D4" s="84"/>
      <c r="E4" s="84"/>
      <c r="F4" s="84"/>
      <c r="G4" t="s" s="136">
        <v>325</v>
      </c>
      <c r="H4" s="84"/>
      <c r="I4" t="s" s="136">
        <v>326</v>
      </c>
      <c r="J4" t="s" s="136">
        <v>327</v>
      </c>
      <c r="K4" t="s" s="136">
        <v>328</v>
      </c>
      <c r="L4" t="s" s="136">
        <v>329</v>
      </c>
      <c r="M4" s="84"/>
      <c r="N4" t="s" s="136">
        <v>330</v>
      </c>
      <c r="O4" s="84"/>
      <c r="P4" t="s" s="355">
        <v>331</v>
      </c>
    </row>
    <row r="5" ht="36.5" customHeight="1">
      <c r="A5" s="356"/>
      <c r="B5" s="86"/>
      <c r="C5" s="86"/>
      <c r="D5" s="86"/>
      <c r="E5" s="86"/>
      <c r="F5" s="86"/>
      <c r="G5" t="s" s="128">
        <v>333</v>
      </c>
      <c r="H5" t="s" s="128">
        <v>334</v>
      </c>
      <c r="I5" s="86"/>
      <c r="J5" s="86"/>
      <c r="K5" s="86"/>
      <c r="L5" t="s" s="128">
        <v>335</v>
      </c>
      <c r="M5" t="s" s="128">
        <v>336</v>
      </c>
      <c r="N5" t="s" s="128">
        <v>337</v>
      </c>
      <c r="O5" t="s" s="128">
        <v>338</v>
      </c>
      <c r="P5" s="87"/>
    </row>
    <row r="6" ht="22.5" customHeight="1">
      <c r="A6" t="s" s="357">
        <v>350</v>
      </c>
      <c r="B6" s="254">
        <v>46091</v>
      </c>
      <c r="C6" s="139">
        <v>184</v>
      </c>
      <c r="D6" s="141">
        <v>544.46</v>
      </c>
      <c r="E6" s="141" cm="1">
        <f t="array" ref="E6">C6*D6</f>
        <v>100180.64</v>
      </c>
      <c r="F6" t="s" s="136">
        <v>351</v>
      </c>
      <c r="G6" s="358" cm="1">
        <f t="array" ref="G6">IF(J6&gt;0,(1+H6)^(365/J6)-1,"")</f>
        <v>0.576451891650869</v>
      </c>
      <c r="H6" s="359" cm="1">
        <f t="array" ref="H6">IF(E6=0,0,I6/E6-1)</f>
        <v>0.0763508797707821</v>
      </c>
      <c r="I6" s="141" cm="1">
        <f t="array" ref="I6">C6*B9</f>
        <v>107829.52</v>
      </c>
      <c r="J6" s="255" cm="1">
        <f t="array" ref="J6">DATEDIF(B6,TODAY(),"d")</f>
        <v>59</v>
      </c>
      <c r="K6" s="138" cm="1">
        <f t="array" ref="K6">IF(J6&lt;=180,22.5%,IF(J6&lt;=360,20%,IF(J6&lt;=720,17.5%,15%)))</f>
        <v>0.225</v>
      </c>
      <c r="L6" s="141" cm="1">
        <f t="array" ref="L6">MAX(0,(I6-E6)*K6)</f>
        <v>1720.998</v>
      </c>
      <c r="M6" s="141" cm="1">
        <f t="array" ref="M6">MAX(0,(I6-E6)*B10)</f>
        <v>0</v>
      </c>
      <c r="N6" s="141" cm="1">
        <f t="array" ref="N6">I6*B11*(J6/365)</f>
        <v>34.8599544109589</v>
      </c>
      <c r="O6" s="141" cm="1">
        <f t="array" ref="O6">J6*B12*(K6/365)</f>
        <v>0</v>
      </c>
      <c r="P6" s="169" cm="1">
        <f t="array" ref="P6">I6-L6-M6-N6-O6</f>
        <v>106073.662045589</v>
      </c>
    </row>
    <row r="7" ht="22.5" customHeight="1">
      <c r="A7" s="356"/>
      <c r="B7" s="86"/>
      <c r="C7" s="86"/>
      <c r="D7" s="86"/>
      <c r="E7" s="44" cm="1">
        <f t="array" ref="E7">SUM(E6:E6)</f>
        <v>100180.64</v>
      </c>
      <c r="F7" s="86"/>
      <c r="G7" s="86"/>
      <c r="H7" s="86"/>
      <c r="I7" s="86"/>
      <c r="J7" s="86"/>
      <c r="K7" s="86"/>
      <c r="L7" s="86"/>
      <c r="M7" s="86"/>
      <c r="N7" s="86"/>
      <c r="O7" s="86"/>
      <c r="P7" s="87"/>
    </row>
    <row r="8" ht="22.5" customHeight="1">
      <c r="A8" s="354"/>
      <c r="B8" s="84"/>
      <c r="C8" s="84"/>
      <c r="D8" s="84"/>
      <c r="E8" s="141"/>
      <c r="F8" s="84"/>
      <c r="G8" s="84"/>
      <c r="H8" s="84"/>
      <c r="I8" s="84"/>
      <c r="J8" s="84"/>
      <c r="K8" s="84"/>
      <c r="L8" s="84"/>
      <c r="M8" s="84"/>
      <c r="N8" s="84"/>
      <c r="O8" s="84"/>
      <c r="P8" s="85"/>
    </row>
    <row r="9" ht="22.5" customHeight="1">
      <c r="A9" t="s" s="360">
        <v>341</v>
      </c>
      <c r="B9" s="44">
        <v>586.03</v>
      </c>
      <c r="C9" s="86"/>
      <c r="D9" s="86"/>
      <c r="E9" s="44"/>
      <c r="F9" s="86"/>
      <c r="G9" s="86"/>
      <c r="H9" s="86"/>
      <c r="I9" s="86"/>
      <c r="J9" s="86"/>
      <c r="K9" s="86"/>
      <c r="L9" s="86"/>
      <c r="M9" s="86"/>
      <c r="N9" s="86"/>
      <c r="O9" s="86"/>
      <c r="P9" s="87"/>
    </row>
    <row r="10" ht="22.5" customHeight="1">
      <c r="A10" t="s" s="361">
        <v>336</v>
      </c>
      <c r="B10" s="146" cm="1">
        <f t="array" ref="B10">IF(J6&gt;=30,0,CHOOSE(J6,96%,93%,90%,86%,83%,80%,76%,73%,70%,66%,63%,60%,56%,53%,50%,46%,43%,40%,36%,33%,30%,26%,23%,20%,16%,13%,10%,6%,3%))</f>
        <v>0</v>
      </c>
      <c r="C10" s="84"/>
      <c r="D10" s="84"/>
      <c r="E10" s="141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5"/>
    </row>
    <row r="11" ht="22.5" customHeight="1">
      <c r="A11" t="s" s="360">
        <v>342</v>
      </c>
      <c r="B11" s="362">
        <v>0.002</v>
      </c>
      <c r="C11" s="86"/>
      <c r="D11" s="86"/>
      <c r="E11" s="44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7"/>
    </row>
    <row r="12" ht="22.6" customHeight="1">
      <c r="A12" t="s" s="363">
        <v>343</v>
      </c>
      <c r="B12" s="364">
        <v>0</v>
      </c>
      <c r="C12" s="278"/>
      <c r="D12" s="278"/>
      <c r="E12" s="365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9"/>
    </row>
  </sheetData>
  <mergeCells count="15">
    <mergeCell ref="A1:P1"/>
    <mergeCell ref="G4:H4"/>
    <mergeCell ref="I4:I5"/>
    <mergeCell ref="J4:J5"/>
    <mergeCell ref="K4:K5"/>
    <mergeCell ref="G3:P3"/>
    <mergeCell ref="L4:M4"/>
    <mergeCell ref="N4:O4"/>
    <mergeCell ref="B3:B5"/>
    <mergeCell ref="C3:C5"/>
    <mergeCell ref="D3:D5"/>
    <mergeCell ref="E3:E5"/>
    <mergeCell ref="F3:F5"/>
    <mergeCell ref="P4:P5"/>
    <mergeCell ref="A3:A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  <drawing r:id="rId1"/>
  <legacyDrawing r:id="rId2"/>
</worksheet>
</file>

<file path=xl/worksheets/sheet70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12"/>
  <sheetViews>
    <sheetView workbookViewId="0" showGridLines="0" defaultGridColor="1">
      <pane topLeftCell="A3" xSplit="0" ySplit="2" activePane="bottomLeft" state="frozen"/>
    </sheetView>
  </sheetViews>
  <sheetFormatPr defaultColWidth="16.3333" defaultRowHeight="21.65" customHeight="1" outlineLevelRow="0" outlineLevelCol="0"/>
  <cols>
    <col min="1" max="16" width="16.3516" style="368" customWidth="1"/>
    <col min="17" max="16384" width="16.3516" style="368" customWidth="1"/>
  </cols>
  <sheetData>
    <row r="1" ht="30" customHeight="1">
      <c r="A1" t="s" s="17">
        <v>352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ht="22.85" customHeight="1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9"/>
    </row>
    <row r="3" ht="22.75" customHeight="1">
      <c r="A3" s="351"/>
      <c r="B3" t="s" s="352">
        <v>319</v>
      </c>
      <c r="C3" t="s" s="352">
        <v>320</v>
      </c>
      <c r="D3" t="s" s="352">
        <v>321</v>
      </c>
      <c r="E3" t="s" s="352">
        <v>322</v>
      </c>
      <c r="F3" t="s" s="352">
        <v>323</v>
      </c>
      <c r="G3" t="s" s="352">
        <v>324</v>
      </c>
      <c r="H3" s="81"/>
      <c r="I3" s="81"/>
      <c r="J3" s="81"/>
      <c r="K3" s="81"/>
      <c r="L3" s="81"/>
      <c r="M3" s="81"/>
      <c r="N3" s="81"/>
      <c r="O3" s="81"/>
      <c r="P3" s="82"/>
    </row>
    <row r="4" ht="22.5" customHeight="1">
      <c r="A4" s="354"/>
      <c r="B4" s="84"/>
      <c r="C4" s="84"/>
      <c r="D4" s="84"/>
      <c r="E4" s="84"/>
      <c r="F4" s="84"/>
      <c r="G4" t="s" s="136">
        <v>325</v>
      </c>
      <c r="H4" s="84"/>
      <c r="I4" t="s" s="136">
        <v>326</v>
      </c>
      <c r="J4" t="s" s="136">
        <v>327</v>
      </c>
      <c r="K4" t="s" s="136">
        <v>328</v>
      </c>
      <c r="L4" t="s" s="136">
        <v>329</v>
      </c>
      <c r="M4" s="84"/>
      <c r="N4" t="s" s="136">
        <v>330</v>
      </c>
      <c r="O4" s="84"/>
      <c r="P4" t="s" s="355">
        <v>331</v>
      </c>
    </row>
    <row r="5" ht="36.5" customHeight="1">
      <c r="A5" s="356"/>
      <c r="B5" s="86"/>
      <c r="C5" s="86"/>
      <c r="D5" s="86"/>
      <c r="E5" s="86"/>
      <c r="F5" s="86"/>
      <c r="G5" t="s" s="128">
        <v>333</v>
      </c>
      <c r="H5" t="s" s="128">
        <v>334</v>
      </c>
      <c r="I5" s="86"/>
      <c r="J5" s="86"/>
      <c r="K5" s="86"/>
      <c r="L5" t="s" s="128">
        <v>335</v>
      </c>
      <c r="M5" t="s" s="128">
        <v>336</v>
      </c>
      <c r="N5" t="s" s="128">
        <v>337</v>
      </c>
      <c r="O5" t="s" s="128">
        <v>338</v>
      </c>
      <c r="P5" s="87"/>
    </row>
    <row r="6" ht="22.5" customHeight="1">
      <c r="A6" t="s" s="357">
        <v>354</v>
      </c>
      <c r="B6" s="254">
        <v>46091</v>
      </c>
      <c r="C6" s="139">
        <v>54</v>
      </c>
      <c r="D6" s="141">
        <v>1002.22</v>
      </c>
      <c r="E6" s="141" cm="1">
        <f t="array" ref="E6">C6*D6</f>
        <v>54119.88</v>
      </c>
      <c r="F6" t="s" s="136">
        <v>355</v>
      </c>
      <c r="G6" s="358" cm="1">
        <f t="array" ref="G6">IF(J6&gt;0,(1+H6)^(365/J6)-1,"")</f>
        <v>0.55103660547475</v>
      </c>
      <c r="H6" s="359" cm="1">
        <f t="array" ref="H6">IF(E6=0,0,I6/E6-1)</f>
        <v>0.0735267705693361</v>
      </c>
      <c r="I6" s="141" cm="1">
        <f t="array" ref="I6">C6*B9</f>
        <v>58099.14</v>
      </c>
      <c r="J6" s="255" cm="1">
        <f t="array" ref="J6">DATEDIF(B6,TODAY(),"d")</f>
        <v>59</v>
      </c>
      <c r="K6" s="138" cm="1">
        <f t="array" ref="K6">IF(J6&lt;=180,22.5%,IF(J6&lt;=360,20%,IF(J6&lt;=720,17.5%,15%)))</f>
        <v>0.225</v>
      </c>
      <c r="L6" s="141" cm="1">
        <f t="array" ref="L6">MAX(0,(I6-E6)*K6)</f>
        <v>895.3335</v>
      </c>
      <c r="M6" s="141" cm="1">
        <f t="array" ref="M6">MAX(0,(I6-E6)*B10)</f>
        <v>0</v>
      </c>
      <c r="N6" s="141" cm="1">
        <f t="array" ref="N6">I6*B11*(J6/365)</f>
        <v>18.7827356712329</v>
      </c>
      <c r="O6" s="141" cm="1">
        <f t="array" ref="O6">J6*B12*(K6/365)</f>
        <v>0</v>
      </c>
      <c r="P6" s="169" cm="1">
        <f t="array" ref="P6">I6-L6-M6-N6-O6</f>
        <v>57185.0237643288</v>
      </c>
    </row>
    <row r="7" ht="22.5" customHeight="1">
      <c r="A7" s="356"/>
      <c r="B7" s="86"/>
      <c r="C7" s="86"/>
      <c r="D7" s="86"/>
      <c r="E7" s="44" cm="1">
        <f t="array" ref="E7">SUM(E6:E6)</f>
        <v>54119.88</v>
      </c>
      <c r="F7" s="86"/>
      <c r="G7" s="86"/>
      <c r="H7" s="86"/>
      <c r="I7" s="86"/>
      <c r="J7" s="86"/>
      <c r="K7" s="86"/>
      <c r="L7" s="86"/>
      <c r="M7" s="86"/>
      <c r="N7" s="86"/>
      <c r="O7" s="86"/>
      <c r="P7" s="87"/>
    </row>
    <row r="8" ht="22.5" customHeight="1">
      <c r="A8" s="354"/>
      <c r="B8" s="84"/>
      <c r="C8" s="84"/>
      <c r="D8" s="84"/>
      <c r="E8" s="141"/>
      <c r="F8" s="84"/>
      <c r="G8" s="84"/>
      <c r="H8" s="84"/>
      <c r="I8" s="84"/>
      <c r="J8" s="84"/>
      <c r="K8" s="84"/>
      <c r="L8" s="84"/>
      <c r="M8" s="84"/>
      <c r="N8" s="84"/>
      <c r="O8" s="84"/>
      <c r="P8" s="85"/>
    </row>
    <row r="9" ht="22.5" customHeight="1">
      <c r="A9" t="s" s="360">
        <v>341</v>
      </c>
      <c r="B9" s="44">
        <v>1075.91</v>
      </c>
      <c r="C9" s="86"/>
      <c r="D9" s="86"/>
      <c r="E9" s="44"/>
      <c r="F9" s="86"/>
      <c r="G9" s="86"/>
      <c r="H9" s="86"/>
      <c r="I9" s="86"/>
      <c r="J9" s="86"/>
      <c r="K9" s="86"/>
      <c r="L9" s="86"/>
      <c r="M9" s="86"/>
      <c r="N9" s="86"/>
      <c r="O9" s="86"/>
      <c r="P9" s="87"/>
    </row>
    <row r="10" ht="22.5" customHeight="1">
      <c r="A10" t="s" s="361">
        <v>336</v>
      </c>
      <c r="B10" s="146" cm="1">
        <f t="array" ref="B10">IF(J6&gt;=30,0,CHOOSE(J6,96%,93%,90%,86%,83%,80%,76%,73%,70%,66%,63%,60%,56%,53%,50%,46%,43%,40%,36%,33%,30%,26%,23%,20%,16%,13%,10%,6%,3%))</f>
        <v>0</v>
      </c>
      <c r="C10" s="84"/>
      <c r="D10" s="84"/>
      <c r="E10" s="141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5"/>
    </row>
    <row r="11" ht="22.5" customHeight="1">
      <c r="A11" t="s" s="360">
        <v>342</v>
      </c>
      <c r="B11" s="362">
        <v>0.002</v>
      </c>
      <c r="C11" s="86"/>
      <c r="D11" s="86"/>
      <c r="E11" s="44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7"/>
    </row>
    <row r="12" ht="22.6" customHeight="1">
      <c r="A12" t="s" s="363">
        <v>343</v>
      </c>
      <c r="B12" s="364">
        <v>0</v>
      </c>
      <c r="C12" s="278"/>
      <c r="D12" s="278"/>
      <c r="E12" s="365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9"/>
    </row>
  </sheetData>
  <mergeCells count="15">
    <mergeCell ref="A1:P1"/>
    <mergeCell ref="G4:H4"/>
    <mergeCell ref="I4:I5"/>
    <mergeCell ref="J4:J5"/>
    <mergeCell ref="K4:K5"/>
    <mergeCell ref="G3:P3"/>
    <mergeCell ref="L4:M4"/>
    <mergeCell ref="N4:O4"/>
    <mergeCell ref="B3:B5"/>
    <mergeCell ref="C3:C5"/>
    <mergeCell ref="D3:D5"/>
    <mergeCell ref="E3:E5"/>
    <mergeCell ref="F3:F5"/>
    <mergeCell ref="P4:P5"/>
    <mergeCell ref="A3:A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  <drawing r:id="rId1"/>
  <legacyDrawing r:id="rId2"/>
</worksheet>
</file>

<file path=xl/worksheets/sheet7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13"/>
  <sheetViews>
    <sheetView workbookViewId="0" showGridLines="0" defaultGridColor="1">
      <pane topLeftCell="A3" xSplit="0" ySplit="2" activePane="bottomLeft" state="frozen"/>
    </sheetView>
  </sheetViews>
  <sheetFormatPr defaultColWidth="16.3333" defaultRowHeight="21.65" customHeight="1" outlineLevelRow="0" outlineLevelCol="0"/>
  <cols>
    <col min="1" max="16" width="16.3516" style="369" customWidth="1"/>
    <col min="17" max="16384" width="16.3516" style="369" customWidth="1"/>
  </cols>
  <sheetData>
    <row r="1" ht="30" customHeight="1">
      <c r="A1" t="s" s="17">
        <v>356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ht="22.85" customHeight="1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9"/>
    </row>
    <row r="3" ht="22.75" customHeight="1">
      <c r="A3" s="351"/>
      <c r="B3" t="s" s="352">
        <v>319</v>
      </c>
      <c r="C3" t="s" s="352">
        <v>320</v>
      </c>
      <c r="D3" t="s" s="352">
        <v>321</v>
      </c>
      <c r="E3" t="s" s="352">
        <v>322</v>
      </c>
      <c r="F3" t="s" s="352">
        <v>323</v>
      </c>
      <c r="G3" t="s" s="352">
        <v>324</v>
      </c>
      <c r="H3" s="81"/>
      <c r="I3" s="81"/>
      <c r="J3" s="81"/>
      <c r="K3" s="81"/>
      <c r="L3" s="81"/>
      <c r="M3" s="81"/>
      <c r="N3" s="81"/>
      <c r="O3" s="81"/>
      <c r="P3" s="82"/>
    </row>
    <row r="4" ht="22.5" customHeight="1">
      <c r="A4" s="354"/>
      <c r="B4" s="84"/>
      <c r="C4" s="84"/>
      <c r="D4" s="84"/>
      <c r="E4" s="84"/>
      <c r="F4" s="84"/>
      <c r="G4" t="s" s="136">
        <v>323</v>
      </c>
      <c r="H4" s="84"/>
      <c r="I4" t="s" s="136">
        <v>326</v>
      </c>
      <c r="J4" t="s" s="136">
        <v>327</v>
      </c>
      <c r="K4" t="s" s="136">
        <v>328</v>
      </c>
      <c r="L4" t="s" s="136">
        <v>329</v>
      </c>
      <c r="M4" s="84"/>
      <c r="N4" t="s" s="136">
        <v>330</v>
      </c>
      <c r="O4" s="84"/>
      <c r="P4" t="s" s="355">
        <v>331</v>
      </c>
    </row>
    <row r="5" ht="36.5" customHeight="1">
      <c r="A5" s="356"/>
      <c r="B5" s="86"/>
      <c r="C5" s="86"/>
      <c r="D5" s="86"/>
      <c r="E5" s="86"/>
      <c r="F5" s="86"/>
      <c r="G5" t="s" s="128">
        <v>333</v>
      </c>
      <c r="H5" t="s" s="128">
        <v>334</v>
      </c>
      <c r="I5" s="86"/>
      <c r="J5" s="86"/>
      <c r="K5" s="86"/>
      <c r="L5" t="s" s="128">
        <v>335</v>
      </c>
      <c r="M5" t="s" s="128">
        <v>336</v>
      </c>
      <c r="N5" t="s" s="128">
        <v>337</v>
      </c>
      <c r="O5" t="s" s="128">
        <v>338</v>
      </c>
      <c r="P5" s="87"/>
    </row>
    <row r="6" ht="22.5" customHeight="1">
      <c r="A6" t="s" s="361">
        <v>356</v>
      </c>
      <c r="B6" s="370">
        <v>46094</v>
      </c>
      <c r="C6" s="371">
        <v>65.69</v>
      </c>
      <c r="D6" s="372">
        <v>913.51</v>
      </c>
      <c r="E6" s="372">
        <v>60008.47</v>
      </c>
      <c r="F6" t="s" s="373">
        <v>358</v>
      </c>
      <c r="G6" s="374" cm="1">
        <f t="array" ref="G6">IF(J6&gt;0,(1+H6)^(365/J6)-1,"")</f>
        <v>0.188771699290787</v>
      </c>
      <c r="H6" s="375" cm="1">
        <f t="array" ref="H6">IF(E6=0,0,I6/E6-1)</f>
        <v>0.0268853430190771</v>
      </c>
      <c r="I6" s="141" cm="1">
        <f t="array" ref="I6">C6*B8</f>
        <v>61621.8183</v>
      </c>
      <c r="J6" s="371" cm="1">
        <f t="array" ref="J6">DATEDIF(B6,TODAY(),"D")</f>
        <v>56</v>
      </c>
      <c r="K6" s="374" cm="1">
        <f t="array" ref="K6">IF(J6&lt;=180,22.5%,IF(J6&lt;=360,20%,IF(J6&lt;=720,17.5%,15%)))</f>
        <v>0.225</v>
      </c>
      <c r="L6" s="372" cm="1">
        <f t="array" ref="L6">MAX(0,(I6-E6)*K6)</f>
        <v>363.0033675</v>
      </c>
      <c r="M6" s="372" cm="1">
        <f t="array" ref="M6">MAX(0,(I6-E6)*B9)</f>
        <v>0</v>
      </c>
      <c r="N6" s="372" cm="1">
        <f t="array" ref="N6">I6*B11*(J6/365)</f>
        <v>0</v>
      </c>
      <c r="O6" s="372" cm="1">
        <f t="array" ref="O6">J6*C11*(K6/365)</f>
        <v>0</v>
      </c>
      <c r="P6" s="376" cm="1">
        <f t="array" ref="P6">I6-L6-M6-N6+O6</f>
        <v>61258.8149325</v>
      </c>
    </row>
    <row r="7" ht="22.5" customHeight="1">
      <c r="A7" s="356"/>
      <c r="B7" s="86"/>
      <c r="C7" s="86"/>
      <c r="D7" s="86"/>
      <c r="E7" s="44" cm="1">
        <f t="array" ref="E7">SUM(E6)</f>
        <v>60008.47</v>
      </c>
      <c r="F7" s="86"/>
      <c r="G7" s="86"/>
      <c r="H7" s="86"/>
      <c r="I7" s="86"/>
      <c r="J7" s="86"/>
      <c r="K7" s="86"/>
      <c r="L7" s="86"/>
      <c r="M7" s="86"/>
      <c r="N7" s="86"/>
      <c r="O7" t="s" s="377">
        <v>155</v>
      </c>
      <c r="P7" s="87"/>
    </row>
    <row r="8" ht="22.5" customHeight="1">
      <c r="A8" t="s" s="361">
        <v>341</v>
      </c>
      <c r="B8" s="141">
        <v>938.0700000000001</v>
      </c>
      <c r="C8" s="84"/>
      <c r="D8" s="84"/>
      <c r="E8" s="141"/>
      <c r="F8" s="84"/>
      <c r="G8" s="84"/>
      <c r="H8" s="84"/>
      <c r="I8" s="84"/>
      <c r="J8" s="84"/>
      <c r="K8" s="84"/>
      <c r="L8" s="84"/>
      <c r="M8" s="84"/>
      <c r="N8" s="84"/>
      <c r="O8" s="84"/>
      <c r="P8" s="85"/>
    </row>
    <row r="9" ht="22.5" customHeight="1">
      <c r="A9" t="s" s="360">
        <v>336</v>
      </c>
      <c r="B9" s="40" cm="1">
        <f t="array" ref="B9">IF(J6&gt;=30,0,CHOOSE(J6,96%,93%,90%,86%,83%,80%,76%,73%,70%,66%,63%,60%,56%,53%,50%,46%,43%,40%,36%,33%,30%,26%,23%,20%,16%,13%,10%,6%,3%))</f>
        <v>0</v>
      </c>
      <c r="C9" s="86"/>
      <c r="D9" s="86"/>
      <c r="E9" s="44"/>
      <c r="F9" s="86"/>
      <c r="G9" s="86"/>
      <c r="H9" s="86"/>
      <c r="I9" s="86"/>
      <c r="J9" s="86"/>
      <c r="K9" s="86"/>
      <c r="L9" s="86"/>
      <c r="M9" s="86"/>
      <c r="N9" s="86"/>
      <c r="O9" s="86"/>
      <c r="P9" s="87"/>
    </row>
    <row r="10" ht="22.5" customHeight="1">
      <c r="A10" t="s" s="361">
        <v>342</v>
      </c>
      <c r="B10" s="359">
        <v>0.002</v>
      </c>
      <c r="C10" s="84"/>
      <c r="D10" s="84"/>
      <c r="E10" s="141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5"/>
    </row>
    <row r="11" ht="22.5" customHeight="1">
      <c r="A11" t="s" s="360">
        <v>343</v>
      </c>
      <c r="B11" s="362">
        <v>0</v>
      </c>
      <c r="C11" s="86"/>
      <c r="D11" s="86"/>
      <c r="E11" s="44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7"/>
    </row>
    <row r="12" ht="22.5" customHeight="1">
      <c r="A12" s="354"/>
      <c r="B12" s="84"/>
      <c r="C12" s="84"/>
      <c r="D12" s="84"/>
      <c r="E12" s="141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5"/>
    </row>
    <row r="13" ht="22.6" customHeight="1">
      <c r="A13" s="378"/>
      <c r="B13" s="89"/>
      <c r="C13" s="89"/>
      <c r="D13" s="89"/>
      <c r="E13" s="181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90"/>
    </row>
  </sheetData>
  <mergeCells count="15">
    <mergeCell ref="A1:P1"/>
    <mergeCell ref="G4:H4"/>
    <mergeCell ref="I4:I5"/>
    <mergeCell ref="J4:J5"/>
    <mergeCell ref="K4:K5"/>
    <mergeCell ref="G3:P3"/>
    <mergeCell ref="L4:M4"/>
    <mergeCell ref="N4:O4"/>
    <mergeCell ref="B3:B5"/>
    <mergeCell ref="C3:C5"/>
    <mergeCell ref="D3:D5"/>
    <mergeCell ref="E3:E5"/>
    <mergeCell ref="F3:F5"/>
    <mergeCell ref="P4:P5"/>
    <mergeCell ref="A3:A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  <drawing r:id="rId1"/>
  <legacyDrawing r:id="rId2"/>
</worksheet>
</file>

<file path=xl/worksheets/sheet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4"/>
  <sheetViews>
    <sheetView workbookViewId="0" showGridLines="0" defaultGridColor="1"/>
  </sheetViews>
  <sheetFormatPr defaultColWidth="11.6667" defaultRowHeight="21.65" customHeight="1" outlineLevelRow="0" outlineLevelCol="0"/>
  <cols>
    <col min="1" max="1" width="10.2734" style="379" customWidth="1"/>
    <col min="2" max="2" width="19.5547" style="379" customWidth="1"/>
    <col min="3" max="3" width="10.6094" style="379" customWidth="1"/>
    <col min="4" max="4" width="10.6719" style="379" customWidth="1"/>
    <col min="5" max="5" width="11.6719" style="379" customWidth="1"/>
    <col min="6" max="6" width="12.1328" style="379" customWidth="1"/>
    <col min="7" max="7" width="12.7891" style="379" customWidth="1"/>
    <col min="8" max="9" width="12.1328" style="379" customWidth="1"/>
    <col min="10" max="11" hidden="1" width="11.6667" style="379" customWidth="1"/>
    <col min="12" max="16384" width="11.6719" style="379" customWidth="1"/>
  </cols>
  <sheetData>
    <row r="1" ht="22.6" customHeight="1">
      <c r="A1" s="27"/>
      <c r="B1" s="28"/>
      <c r="C1" s="28"/>
      <c r="D1" s="28"/>
      <c r="E1" s="30"/>
      <c r="F1" s="28"/>
      <c r="G1" s="28"/>
      <c r="H1" s="28"/>
      <c r="I1" s="31"/>
      <c r="J1" s="246"/>
      <c r="K1" s="246"/>
    </row>
    <row r="2" ht="50.5" customHeight="1">
      <c r="A2" t="s" s="32">
        <v>19</v>
      </c>
      <c r="B2" t="s" s="33">
        <v>20</v>
      </c>
      <c r="C2" t="s" s="33">
        <v>22</v>
      </c>
      <c r="D2" t="s" s="33">
        <v>361</v>
      </c>
      <c r="E2" t="s" s="35">
        <v>26</v>
      </c>
      <c r="F2" t="s" s="33">
        <v>362</v>
      </c>
      <c r="G2" t="s" s="33">
        <v>363</v>
      </c>
      <c r="H2" t="s" s="33">
        <v>364</v>
      </c>
      <c r="I2" t="s" s="36">
        <v>332</v>
      </c>
      <c r="J2" t="s" s="247">
        <v>29</v>
      </c>
      <c r="K2" t="s" s="247">
        <v>30</v>
      </c>
    </row>
    <row r="3" ht="22.75" customHeight="1">
      <c r="A3" t="s" s="380">
        <v>365</v>
      </c>
      <c r="B3" t="str" s="381">
        <v>3M Company</v>
      </c>
      <c r="C3" s="151">
        <v>143.75</v>
      </c>
      <c r="D3" s="112">
        <v>0.44444</v>
      </c>
      <c r="E3" s="382">
        <v>101.14</v>
      </c>
      <c r="F3" s="114">
        <v>220.060458928960</v>
      </c>
      <c r="G3" s="114">
        <v>312.7713167</v>
      </c>
      <c r="H3" s="111" cm="1">
        <f t="array" ref="H3">(C3-E3)/E3</f>
        <v>0.421297211785644</v>
      </c>
      <c r="I3" s="383" cm="1">
        <f t="array" ref="I3">_xlfn.IFERROR(G3-F3,"–")</f>
        <v>92.710857771040</v>
      </c>
      <c r="J3" t="str" s="384">
        <v>–</v>
      </c>
      <c r="K3" s="385" cm="1">
        <f t="array" ref="K3">_xlfn.IFERROR((G3-F3)/F3,"–")</f>
        <v>0.421297211785644</v>
      </c>
    </row>
    <row r="4" ht="22.85" customHeight="1">
      <c r="A4" t="s" s="63">
        <v>46</v>
      </c>
      <c r="B4" s="386"/>
      <c r="C4" s="387"/>
      <c r="D4" s="388" cm="1">
        <f t="array" ref="D4">SUM(D3:D3)</f>
        <v>0.44444</v>
      </c>
      <c r="E4" s="389"/>
      <c r="F4" s="390" cm="1">
        <f t="array" ref="F4">SUM(F3:F3)</f>
        <v>220.060458928960</v>
      </c>
      <c r="G4" s="390" cm="1">
        <f t="array" ref="G4">SUM(G3:G3)</f>
        <v>312.7713167</v>
      </c>
      <c r="H4" s="391" cm="1">
        <f t="array" ref="H4">SUM(H3:H3)</f>
        <v>0.421297211785644</v>
      </c>
      <c r="I4" s="392" cm="1">
        <f t="array" ref="I4">SUM(I3:I3)</f>
        <v>92.710857771040</v>
      </c>
      <c r="J4" s="274" cm="1">
        <f t="array" ref="J4">SUM(J3:J3)</f>
        <v>0</v>
      </c>
      <c r="K4" s="275" cm="1">
        <f t="array" ref="K4">(G4-F4)/F4</f>
        <v>0.421297211785644</v>
      </c>
    </row>
  </sheetData>
  <conditionalFormatting sqref="C3">
    <cfRule type="cellIs" dxfId="200" priority="1" operator="lessThanOrEqual" stopIfTrue="1">
      <formula>119.69</formula>
    </cfRule>
    <cfRule type="cellIs" dxfId="201" priority="2" operator="lessThanOrEqual" stopIfTrue="1">
      <formula>106.38</formula>
    </cfRule>
    <cfRule type="cellIs" dxfId="202" priority="3" operator="greaterThanOrEqual" stopIfTrue="1">
      <formula>146.28</formula>
    </cfRule>
    <cfRule type="cellIs" dxfId="203" priority="4" operator="greaterThanOrEqual" stopIfTrue="1">
      <formula>159.58</formula>
    </cfRule>
  </conditionalFormatting>
  <conditionalFormatting sqref="I3">
    <cfRule type="cellIs" dxfId="204" priority="1" operator="greaterThan" stopIfTrue="1">
      <formula>0</formula>
    </cfRule>
    <cfRule type="cellIs" dxfId="205" priority="2" operator="lessThan" stopIfTrue="1">
      <formula>0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</worksheet>
</file>

<file path=xl/worksheets/sheet7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1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65" customHeight="1" outlineLevelRow="0" outlineLevelCol="0"/>
  <cols>
    <col min="1" max="1" width="12.2188" style="393" customWidth="1"/>
    <col min="2" max="2" width="16.3516" style="393" customWidth="1"/>
    <col min="3" max="3" width="15.75" style="393" customWidth="1"/>
    <col min="4" max="4" width="16.3516" style="393" customWidth="1"/>
    <col min="5" max="16384" width="16.3516" style="393" customWidth="1"/>
  </cols>
  <sheetData>
    <row r="1" ht="30" customHeight="1">
      <c r="A1" t="s" s="17">
        <v>368</v>
      </c>
      <c r="B1" s="17"/>
      <c r="C1" s="17"/>
      <c r="D1" s="17"/>
    </row>
    <row r="2" ht="22.85" customHeight="1">
      <c r="A2" t="s" s="92">
        <v>370</v>
      </c>
      <c r="B2" t="s" s="93">
        <v>371</v>
      </c>
      <c r="C2" t="s" s="93">
        <v>372</v>
      </c>
      <c r="D2" t="s" s="394">
        <v>373</v>
      </c>
    </row>
    <row r="3" ht="22.75" customHeight="1">
      <c r="A3" t="s" s="164">
        <v>374</v>
      </c>
      <c r="B3" s="395">
        <v>683590.09</v>
      </c>
      <c r="C3" s="395" cm="1">
        <f t="array" ref="C3">B4-B3</f>
        <v>0</v>
      </c>
      <c r="D3" s="396" cm="1">
        <f t="array" ref="D3">(B4-B3)/B3</f>
        <v>0</v>
      </c>
    </row>
    <row r="4" ht="22.5" customHeight="1">
      <c r="A4" t="s" s="101">
        <v>375</v>
      </c>
      <c r="B4" s="141">
        <v>683590.09</v>
      </c>
      <c r="C4" s="141" cm="1">
        <f t="array" ref="C4">B5-B4</f>
        <v>0</v>
      </c>
      <c r="D4" s="397" cm="1">
        <f t="array" ref="D4">(B5-B4)/B4</f>
        <v>0</v>
      </c>
    </row>
    <row r="5" ht="22.5" customHeight="1">
      <c r="A5" t="s" s="101">
        <v>376</v>
      </c>
      <c r="B5" s="44">
        <v>683590.09</v>
      </c>
      <c r="C5" s="44" cm="1">
        <f t="array" ref="C5">B6-B5</f>
        <v>79275.97</v>
      </c>
      <c r="D5" s="398" cm="1">
        <f t="array" ref="D5">(B6-B5)/B5</f>
        <v>0.115970039881649</v>
      </c>
    </row>
    <row r="6" ht="22.5" customHeight="1">
      <c r="A6" t="s" s="101">
        <v>377</v>
      </c>
      <c r="B6" s="141">
        <v>762866.0600000001</v>
      </c>
      <c r="C6" s="141" cm="1">
        <f t="array" ref="C6">B7-B6</f>
        <v>19636.28</v>
      </c>
      <c r="D6" s="397" cm="1">
        <f t="array" ref="D6">(B7-B6)/B6</f>
        <v>0.0257401410674896</v>
      </c>
    </row>
    <row r="7" ht="22.5" customHeight="1">
      <c r="A7" t="s" s="101">
        <v>378</v>
      </c>
      <c r="B7" s="44">
        <v>782502.34</v>
      </c>
      <c r="C7" s="44" cm="1">
        <f t="array" ref="C7">B8-B7</f>
        <v>-782502.34</v>
      </c>
      <c r="D7" s="398" cm="1">
        <f t="array" ref="D7">(B8-B7)/B7</f>
        <v>-1</v>
      </c>
    </row>
    <row r="8" ht="22.5" customHeight="1">
      <c r="A8" t="s" s="101">
        <v>379</v>
      </c>
      <c r="B8" s="141"/>
      <c r="C8" s="141" cm="1">
        <f t="array" ref="C8">B9-B8</f>
        <v>0</v>
      </c>
      <c r="D8" s="397" cm="1">
        <f t="array" ref="D8">(B9-B8)/B8</f>
      </c>
    </row>
    <row r="9" ht="22.5" customHeight="1">
      <c r="A9" t="s" s="101">
        <v>380</v>
      </c>
      <c r="B9" s="44"/>
      <c r="C9" s="44" cm="1">
        <f t="array" ref="C9">B10-B9</f>
        <v>0</v>
      </c>
      <c r="D9" s="398" cm="1">
        <f t="array" ref="D9">(B10-B9)/B9</f>
      </c>
    </row>
    <row r="10" ht="22.5" customHeight="1">
      <c r="A10" t="s" s="101">
        <v>381</v>
      </c>
      <c r="B10" s="141"/>
      <c r="C10" s="141" cm="1">
        <f t="array" ref="C10">B11-B10</f>
        <v>0</v>
      </c>
      <c r="D10" s="397" cm="1">
        <f t="array" ref="D10">(B11-B10)/B10</f>
      </c>
    </row>
    <row r="11" ht="22.5" customHeight="1">
      <c r="A11" t="s" s="101">
        <v>382</v>
      </c>
      <c r="B11" s="44"/>
      <c r="C11" s="44" cm="1">
        <f t="array" ref="C11">B12-B11</f>
        <v>0</v>
      </c>
      <c r="D11" s="398" cm="1">
        <f t="array" ref="D11">(B12-B11)/B11</f>
      </c>
    </row>
    <row r="12" ht="22.5" customHeight="1">
      <c r="A12" t="s" s="101">
        <v>383</v>
      </c>
      <c r="B12" s="141"/>
      <c r="C12" s="141" cm="1">
        <f t="array" ref="C12">B13-B12</f>
        <v>0</v>
      </c>
      <c r="D12" s="397" cm="1">
        <f t="array" ref="D12">(B13-B12)/B12</f>
      </c>
    </row>
    <row r="13" ht="22.5" customHeight="1">
      <c r="A13" t="s" s="101">
        <v>384</v>
      </c>
      <c r="B13" s="44"/>
      <c r="C13" s="44" cm="1">
        <f t="array" ref="C13">B14-B13</f>
        <v>0</v>
      </c>
      <c r="D13" s="398" cm="1">
        <f t="array" ref="D13">(B14-B13)/B13</f>
      </c>
    </row>
    <row r="14" ht="24.25" customHeight="1">
      <c r="A14" t="s" s="101">
        <v>385</v>
      </c>
      <c r="B14" s="141"/>
      <c r="C14" s="399" cm="1">
        <f t="array" ref="C14">B15-B14</f>
        <v>0</v>
      </c>
      <c r="D14" s="400" cm="1">
        <f t="array" ref="D14">(B15-B14)/B14</f>
      </c>
    </row>
    <row r="15" ht="26" customHeight="1">
      <c r="A15" t="s" s="180">
        <v>386</v>
      </c>
      <c r="B15" s="401"/>
      <c r="C15" t="s" s="402">
        <v>387</v>
      </c>
      <c r="D15" s="403" cm="1">
        <f t="array" ref="D15">SUM(D3:D14)</f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  <drawing r:id="rId1"/>
  <legacyDrawing r:id="rId2"/>
</worksheet>
</file>

<file path=xl/worksheets/sheet7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65" customHeight="1" outlineLevelRow="0" outlineLevelCol="0"/>
  <cols>
    <col min="1" max="1" width="16.3516" style="404" customWidth="1"/>
    <col min="2" max="2" width="11.1016" style="404" customWidth="1"/>
    <col min="3" max="3" width="9.19531" style="404" customWidth="1"/>
    <col min="4" max="4" width="12.6094" style="404" customWidth="1"/>
    <col min="5" max="16384" width="16.3516" style="404" customWidth="1"/>
  </cols>
  <sheetData>
    <row r="1" ht="30" customHeight="1">
      <c r="A1" t="s" s="17">
        <v>4</v>
      </c>
      <c r="B1" s="17"/>
      <c r="C1" s="17"/>
      <c r="D1" s="17"/>
    </row>
    <row r="2" ht="22.85" customHeight="1">
      <c r="A2" t="s" s="405">
        <v>25</v>
      </c>
      <c r="B2" s="78"/>
      <c r="C2" s="78"/>
      <c r="D2" s="79"/>
    </row>
    <row r="3" ht="22.75" customHeight="1">
      <c r="A3" t="s" s="406">
        <v>127</v>
      </c>
      <c r="B3" t="s" s="352">
        <v>389</v>
      </c>
      <c r="C3" t="s" s="352">
        <v>390</v>
      </c>
      <c r="D3" t="s" s="407">
        <v>391</v>
      </c>
    </row>
    <row r="4" ht="22.5" customHeight="1">
      <c r="A4" t="str" s="408" cm="1">
        <f t="array" ref="A4">'AÇÕES - Meu Portfólio'!$A3</f>
        <v>MELI34</v>
      </c>
      <c r="B4" s="139" cm="1">
        <f t="array" ref="B4">SUM('AÇÕES - Meu Portfólio'!H3:H3)</f>
        <v>400</v>
      </c>
      <c r="C4" s="138" cm="1">
        <f t="array" ref="C4">D4/D6</f>
        <v>0.740714609686035</v>
      </c>
      <c r="D4" s="169" cm="1">
        <f t="array" ref="D4">'AÇÕES - Meu Portfólio'!K3</f>
        <v>29396</v>
      </c>
    </row>
    <row r="5" ht="22.5" customHeight="1">
      <c r="A5" t="str" s="408" cm="1">
        <f t="array" ref="A5">'AÇÕES - Meu Portfólio'!$A4</f>
        <v>BBSE3</v>
      </c>
      <c r="B5" s="42" cm="1">
        <f t="array" ref="B5">SUM('AÇÕES - Meu Portfólio'!H4:H4)</f>
        <v>300</v>
      </c>
      <c r="C5" s="41" cm="1">
        <f t="array" ref="C5">D5/D6</f>
        <v>0.259285390313965</v>
      </c>
      <c r="D5" s="172" cm="1">
        <f t="array" ref="D5">'AÇÕES - Meu Portfólio'!K4</f>
        <v>10290</v>
      </c>
    </row>
    <row r="6" ht="22.6" customHeight="1">
      <c r="A6" s="409"/>
      <c r="B6" t="s" s="410">
        <v>155</v>
      </c>
      <c r="C6" s="365"/>
      <c r="D6" s="411" cm="1">
        <f t="array" ref="D6">SUM(D4:D5)</f>
        <v>39686</v>
      </c>
    </row>
  </sheetData>
  <mergeCells count="2">
    <mergeCell ref="A1:D1"/>
    <mergeCell ref="A2:D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</worksheet>
</file>

<file path=xl/worksheets/sheet7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14"/>
  <sheetViews>
    <sheetView workbookViewId="0" showGridLines="0" defaultGridColor="1">
      <pane topLeftCell="A3" xSplit="0" ySplit="2" activePane="bottomLeft" state="frozen"/>
    </sheetView>
  </sheetViews>
  <sheetFormatPr defaultColWidth="16.3333" defaultRowHeight="21.65" customHeight="1" outlineLevelRow="0" outlineLevelCol="0"/>
  <cols>
    <col min="1" max="1" width="20.1094" style="412" customWidth="1"/>
    <col min="2" max="2" width="18.4922" style="412" customWidth="1"/>
    <col min="3" max="3" width="12.5156" style="412" customWidth="1"/>
    <col min="4" max="4" width="18.6016" style="412" customWidth="1"/>
    <col min="5" max="16384" width="16.3516" style="412" customWidth="1"/>
  </cols>
  <sheetData>
    <row r="1" ht="30" customHeight="1">
      <c r="A1" t="s" s="17">
        <v>394</v>
      </c>
      <c r="B1" s="17"/>
      <c r="C1" s="17"/>
      <c r="D1" s="17"/>
    </row>
    <row r="2" ht="36.85" customHeight="1">
      <c r="A2" t="s" s="92">
        <v>396</v>
      </c>
      <c r="B2" t="s" s="93">
        <v>397</v>
      </c>
      <c r="C2" t="s" s="93">
        <v>398</v>
      </c>
      <c r="D2" t="s" s="394">
        <v>399</v>
      </c>
    </row>
    <row r="3" ht="22.75" customHeight="1">
      <c r="A3" t="s" s="413">
        <v>400</v>
      </c>
      <c r="B3" s="395" cm="1">
        <f t="array" ref="B3">'Consolidação - AÇÕES'!D6</f>
        <v>39686</v>
      </c>
      <c r="C3" s="414" cm="1">
        <f t="array" ref="C3">B3/B14</f>
        <v>0.0507167811223658</v>
      </c>
      <c r="D3" s="415">
        <v>38000</v>
      </c>
    </row>
    <row r="4" ht="22.5" customHeight="1">
      <c r="A4" t="s" s="361">
        <v>401</v>
      </c>
      <c r="B4" s="141" cm="1">
        <f t="array" ref="B4">'Consolidação - ETF - BRASIL'!C4</f>
        <v>31226</v>
      </c>
      <c r="C4" s="138" cm="1">
        <f t="array" ref="C4">B4/B14</f>
        <v>0.0399053118814442</v>
      </c>
      <c r="D4" s="169">
        <v>38000</v>
      </c>
    </row>
    <row r="5" ht="22.5" customHeight="1">
      <c r="A5" t="s" s="360">
        <v>402</v>
      </c>
      <c r="B5" s="44" cm="1">
        <f t="array" ref="B5">'Consolidação - ETF - USA'!D10</f>
        <v>24349.40580612</v>
      </c>
      <c r="C5" s="41" cm="1">
        <f t="array" ref="C5">B5/B14</f>
        <v>0.0311173583815112</v>
      </c>
      <c r="D5" s="172">
        <v>28000</v>
      </c>
    </row>
    <row r="6" ht="22.5" customHeight="1">
      <c r="A6" t="s" s="361">
        <v>403</v>
      </c>
      <c r="B6" s="141" cm="1">
        <f t="array" ref="B6">'Consolidação - FUNDOS IMOBILIÁR'!D6</f>
        <v>29988.78</v>
      </c>
      <c r="C6" s="138" cm="1">
        <f t="array" ref="C6">B6/B14</f>
        <v>0.038324204792289</v>
      </c>
      <c r="D6" s="169">
        <v>43000</v>
      </c>
    </row>
    <row r="7" ht="22.5" customHeight="1">
      <c r="A7" t="s" s="360">
        <v>404</v>
      </c>
      <c r="B7" s="44" cm="1">
        <f t="array" ref="B7">'Consolidação - REIT’S'!D6</f>
        <v>7902.282528252</v>
      </c>
      <c r="C7" s="41" cm="1">
        <f t="array" ref="C7">B7/B14</f>
        <v>0.0100987333909301</v>
      </c>
      <c r="D7" s="172">
        <v>33000</v>
      </c>
    </row>
    <row r="8" ht="22.5" customHeight="1">
      <c r="A8" t="s" s="361">
        <v>194</v>
      </c>
      <c r="B8" s="141" cm="1">
        <f t="array" ref="B8">'Consolidação - STOCKS'!D4</f>
        <v>3287.61766024</v>
      </c>
      <c r="C8" s="138" cm="1">
        <f t="array" ref="C8">B8/B14</f>
        <v>0.00420141574581506</v>
      </c>
      <c r="D8" s="169"/>
    </row>
    <row r="9" ht="22.5" customHeight="1">
      <c r="A9" t="s" s="360">
        <v>205</v>
      </c>
      <c r="B9" s="44" cm="1">
        <f t="array" ref="B9">'Consolidação - CDB'!D5</f>
        <v>2157.064432765220</v>
      </c>
      <c r="C9" s="41" cm="1">
        <f t="array" ref="C9">B9/B14</f>
        <v>0.00275662361294648</v>
      </c>
      <c r="D9" s="172"/>
    </row>
    <row r="10" ht="22.5" customHeight="1">
      <c r="A10" t="s" s="361">
        <v>246</v>
      </c>
      <c r="B10" s="141" cm="1">
        <f t="array" ref="B10">'Consolidação - CRI_CRA'!D7</f>
        <v>212441.74</v>
      </c>
      <c r="C10" s="138" cm="1">
        <f t="array" ref="C10">B10/B14</f>
        <v>0.27149022901866</v>
      </c>
      <c r="D10" s="169"/>
    </row>
    <row r="11" ht="22.5" customHeight="1">
      <c r="A11" t="s" s="360">
        <v>292</v>
      </c>
      <c r="B11" s="44" cm="1">
        <f t="array" ref="B11">'Consolidação - FUNDOS'!D5</f>
        <v>174364.61</v>
      </c>
      <c r="C11" s="41" cm="1">
        <f t="array" ref="C11">B11/B14</f>
        <v>0.222829505640697</v>
      </c>
      <c r="D11" s="172"/>
    </row>
    <row r="12" ht="22.5" customHeight="1">
      <c r="A12" t="s" s="361">
        <v>303</v>
      </c>
      <c r="B12" s="141" cm="1">
        <f t="array" ref="B12">'Consolidação - LCI_LCA'!D5</f>
        <v>22019.3</v>
      </c>
      <c r="C12" s="138" cm="1">
        <f t="array" ref="C12">B12/B14</f>
        <v>0.0281395962951094</v>
      </c>
      <c r="D12" s="169"/>
    </row>
    <row r="13" ht="22.5" customHeight="1">
      <c r="A13" t="s" s="360">
        <v>405</v>
      </c>
      <c r="B13" s="44" cm="1">
        <f t="array" ref="B13">'Consolidação - TESOURO DIRETO'!D7</f>
        <v>235079.541435535</v>
      </c>
      <c r="C13" s="41" cm="1">
        <f t="array" ref="C13">B13/B14</f>
        <v>0.300420240118232</v>
      </c>
      <c r="D13" s="172"/>
    </row>
    <row r="14" ht="22.6" customHeight="1">
      <c r="A14" t="s" s="363">
        <v>155</v>
      </c>
      <c r="B14" s="365" cm="1">
        <f t="array" ref="B14">B3+B4+B5+B6+B7+B8+B9+B10+B11+B12+B13</f>
        <v>782502.3418629121</v>
      </c>
      <c r="C14" s="416" cm="1">
        <f t="array" ref="C14">SUM(C3:C13)</f>
        <v>1</v>
      </c>
      <c r="D14" s="411" cm="1">
        <f t="array" ref="D14">D3+D4+D5+D6+D7</f>
        <v>180000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</worksheet>
</file>

<file path=xl/worksheets/sheet7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4"/>
  <sheetViews>
    <sheetView workbookViewId="0" showGridLines="0" defaultGridColor="1"/>
  </sheetViews>
  <sheetFormatPr defaultColWidth="16.3333" defaultRowHeight="21.65" customHeight="1" outlineLevelRow="0" outlineLevelCol="0"/>
  <cols>
    <col min="1" max="1" width="8.60938" style="417" customWidth="1"/>
    <col min="2" max="2" width="12.6016" style="417" customWidth="1"/>
    <col min="3" max="3" width="17.3906" style="417" customWidth="1"/>
    <col min="4" max="16384" width="16.3516" style="417" customWidth="1"/>
  </cols>
  <sheetData>
    <row r="1" ht="30" customHeight="1">
      <c r="A1" t="s" s="17">
        <v>401</v>
      </c>
      <c r="B1" s="17"/>
      <c r="C1" s="17"/>
    </row>
    <row r="2" ht="22.6" customHeight="1">
      <c r="A2" t="s" s="418">
        <v>407</v>
      </c>
      <c r="B2" t="s" s="419">
        <v>408</v>
      </c>
      <c r="C2" t="s" s="19">
        <v>409</v>
      </c>
    </row>
    <row r="3" ht="22.5" customHeight="1">
      <c r="A3" t="str" s="420" cm="1">
        <f t="array" ref="A3">'ETF BRASIL - Meu Portfólio'!$A3</f>
        <v>COIN11</v>
      </c>
      <c r="B3" s="139" cm="1">
        <f t="array" ref="B3">SUM('ETF BRASIL - Meu Portfólio'!H3)</f>
        <v>650</v>
      </c>
      <c r="C3" s="169" cm="1">
        <f t="array" ref="C3">'ETF BRASIL - Meu Portfólio'!K3</f>
        <v>31226</v>
      </c>
    </row>
    <row r="4" ht="22.6" customHeight="1">
      <c r="A4" s="409"/>
      <c r="B4" t="s" s="421">
        <v>155</v>
      </c>
      <c r="C4" s="183" cm="1">
        <f t="array" ref="C4">C3</f>
        <v>31226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</worksheet>
</file>

<file path=xl/worksheets/sheet7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10"/>
  <sheetViews>
    <sheetView workbookViewId="0" showGridLines="0" defaultGridColor="1"/>
  </sheetViews>
  <sheetFormatPr defaultColWidth="16.3333" defaultRowHeight="21.65" customHeight="1" outlineLevelRow="0" outlineLevelCol="0"/>
  <cols>
    <col min="1" max="1" width="8.60938" style="422" customWidth="1"/>
    <col min="2" max="2" width="12.6016" style="422" customWidth="1"/>
    <col min="3" max="3" width="12.6797" style="422" customWidth="1"/>
    <col min="4" max="4" width="19.3516" style="422" customWidth="1"/>
    <col min="5" max="16384" width="16.3516" style="422" customWidth="1"/>
  </cols>
  <sheetData>
    <row r="1" ht="30" customHeight="1">
      <c r="A1" t="s" s="17">
        <v>402</v>
      </c>
      <c r="B1" s="17"/>
      <c r="C1" s="17"/>
      <c r="D1" s="17"/>
    </row>
    <row r="2" ht="22.6" customHeight="1">
      <c r="A2" t="s" s="418">
        <v>407</v>
      </c>
      <c r="B2" t="s" s="419">
        <v>408</v>
      </c>
      <c r="C2" t="s" s="423">
        <v>390</v>
      </c>
      <c r="D2" t="s" s="19">
        <v>412</v>
      </c>
    </row>
    <row r="3" ht="22.5" customHeight="1">
      <c r="A3" t="str" s="420" cm="1">
        <f t="array" ref="A3">'ETF USA - Meu Portfólio'!$A3</f>
        <v>TLT</v>
      </c>
      <c r="B3" s="139" cm="1">
        <f t="array" ref="B3">SUM('ETF USA - Meu Portfólio'!H3)</f>
        <v>5.677</v>
      </c>
      <c r="C3" s="138" cm="1">
        <f t="array" ref="C3">D3/D10</f>
        <v>0.0977605913562665</v>
      </c>
      <c r="D3" s="169" cm="1">
        <f t="array" ref="D3">SUM('ETF USA - Meu Portfólio'!K3)</f>
        <v>2380.41231078</v>
      </c>
    </row>
    <row r="4" ht="22.5" customHeight="1">
      <c r="A4" t="str" s="424" cm="1">
        <f t="array" ref="A4">'ETF USA - Meu Portfólio'!$A4</f>
        <v>BND</v>
      </c>
      <c r="B4" s="42" cm="1">
        <f t="array" ref="B4">'ETF USA - Meu Portfólio'!H4</f>
        <v>6.733</v>
      </c>
      <c r="C4" s="41" cm="1">
        <f t="array" ref="C4">D4/D10</f>
        <v>0.0993082881193032</v>
      </c>
      <c r="D4" s="172" cm="1">
        <f t="array" ref="D4">'ETF USA - Meu Portfólio'!K4</f>
        <v>2418.097807328</v>
      </c>
    </row>
    <row r="5" ht="22.5" customHeight="1">
      <c r="A5" t="str" s="420" cm="1">
        <f t="array" ref="A5">'ETF USA - Meu Portfólio'!$A5</f>
        <v>IUSB</v>
      </c>
      <c r="B5" s="139" cm="1">
        <f t="array" ref="B5">SUM('ETF USA - Meu Portfólio'!H5)</f>
        <v>21.307</v>
      </c>
      <c r="C5" s="138" cm="1">
        <f t="array" ref="C5">D5/D10</f>
        <v>0.197573713601457</v>
      </c>
      <c r="D5" s="169" cm="1">
        <f t="array" ref="D5">'ETF USA - Meu Portfólio'!K5</f>
        <v>4810.802529104</v>
      </c>
    </row>
    <row r="6" ht="22.5" customHeight="1">
      <c r="A6" t="str" s="424" cm="1">
        <f t="array" ref="A6">'ETF USA - Meu Portfólio'!$A6</f>
        <v>JCPB</v>
      </c>
      <c r="B6" s="42" cm="1">
        <f t="array" ref="B6">'ETF USA - Meu Portfólio'!H6</f>
        <v>10.493</v>
      </c>
      <c r="C6" s="41" cm="1">
        <f t="array" ref="C6">D6/D10</f>
        <v>0.0989230422455151</v>
      </c>
      <c r="D6" s="172" cm="1">
        <f t="array" ref="D6">'ETF USA - Meu Portfólio'!K6</f>
        <v>2408.717299212</v>
      </c>
    </row>
    <row r="7" ht="22.5" customHeight="1">
      <c r="A7" t="str" s="420" cm="1">
        <f t="array" ref="A7">'ETF USA - Meu Portfólio'!$A7</f>
        <v>IAGG</v>
      </c>
      <c r="B7" s="139" cm="1">
        <f t="array" ref="B7">'ETF USA - Meu Portfólio'!H7</f>
        <v>5.981</v>
      </c>
      <c r="C7" s="138" cm="1">
        <f t="array" ref="C7">D7/D10</f>
        <v>0.0601739695420303</v>
      </c>
      <c r="D7" s="169" cm="1">
        <f t="array" ref="D7">'ETF USA - Meu Portfólio'!K7</f>
        <v>1465.200403344</v>
      </c>
    </row>
    <row r="8" ht="22.5" customHeight="1">
      <c r="A8" t="str" s="424" cm="1">
        <f t="array" ref="A8">'ETF USA - Meu Portfólio'!$A8</f>
        <v>IBIT</v>
      </c>
      <c r="B8" s="42" cm="1">
        <f t="array" ref="B8">'ETF USA - Meu Portfólio'!H8</f>
        <v>26.911</v>
      </c>
      <c r="C8" s="41" cm="1">
        <f t="array" ref="C8">D8/D10</f>
        <v>0.245642352271967</v>
      </c>
      <c r="D8" s="172" cm="1">
        <f t="array" ref="D8">'ETF USA - Meu Portfólio'!K8</f>
        <v>5981.24531864</v>
      </c>
    </row>
    <row r="9" ht="22.5" customHeight="1">
      <c r="A9" t="str" s="420" cm="1">
        <f t="array" ref="A9">'ETF USA - Meu Portfólio'!$A9</f>
        <v>TFLO</v>
      </c>
      <c r="B9" s="139" cm="1">
        <f t="array" ref="B9">SUM('ETF USA - Meu Portfólio'!H9)</f>
        <v>19.751</v>
      </c>
      <c r="C9" s="138" cm="1">
        <f t="array" ref="C9">D9/D10</f>
        <v>0.200618042863461</v>
      </c>
      <c r="D9" s="169" cm="1">
        <f t="array" ref="D9">'ETF USA - Meu Portfólio'!K9</f>
        <v>4884.930137712</v>
      </c>
    </row>
    <row r="10" ht="22.6" customHeight="1">
      <c r="A10" s="409"/>
      <c r="B10" t="s" s="421">
        <v>155</v>
      </c>
      <c r="C10" s="425" cm="1">
        <f t="array" ref="C10">SUM(C3:C9)</f>
        <v>1</v>
      </c>
      <c r="D10" s="183" cm="1">
        <f t="array" ref="D10">SUM(D3:D9)</f>
        <v>24349.40580612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</worksheet>
</file>

<file path=xl/worksheets/sheet7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6"/>
  <sheetViews>
    <sheetView workbookViewId="0" showGridLines="0" defaultGridColor="1"/>
  </sheetViews>
  <sheetFormatPr defaultColWidth="16.3333" defaultRowHeight="21.65" customHeight="1" outlineLevelRow="0" outlineLevelCol="0"/>
  <cols>
    <col min="1" max="1" width="8.60938" style="426" customWidth="1"/>
    <col min="2" max="2" width="12.6016" style="426" customWidth="1"/>
    <col min="3" max="3" width="8.25" style="426" customWidth="1"/>
    <col min="4" max="4" width="17.3906" style="426" customWidth="1"/>
    <col min="5" max="16384" width="16.3516" style="426" customWidth="1"/>
  </cols>
  <sheetData>
    <row r="1" ht="30" customHeight="1">
      <c r="A1" t="s" s="17">
        <v>403</v>
      </c>
      <c r="B1" s="17"/>
      <c r="C1" s="17"/>
      <c r="D1" s="17"/>
    </row>
    <row r="2" ht="22.6" customHeight="1">
      <c r="A2" t="s" s="418">
        <v>292</v>
      </c>
      <c r="B2" t="s" s="419">
        <v>408</v>
      </c>
      <c r="C2" t="s" s="423">
        <v>390</v>
      </c>
      <c r="D2" t="s" s="19">
        <v>409</v>
      </c>
    </row>
    <row r="3" ht="22.5" customHeight="1">
      <c r="A3" t="str" s="420" cm="1">
        <f t="array" ref="A3">'Fundos Imobiliários - Meu Portf'!$A3</f>
        <v>MCCI11</v>
      </c>
      <c r="B3" s="139" cm="1">
        <f t="array" ref="B3">SUM('Fundos Imobiliários - Meu Portf'!H3)</f>
        <v>169</v>
      </c>
      <c r="C3" s="138" cm="1">
        <f t="array" ref="C3">D3/D6</f>
        <v>0.5423548407104259</v>
      </c>
      <c r="D3" s="169" cm="1">
        <f t="array" ref="D3">'Fundos Imobiliários - Meu Portf'!K3</f>
        <v>16264.56</v>
      </c>
    </row>
    <row r="4" ht="22.5" customHeight="1">
      <c r="A4" t="str" s="424" cm="1">
        <f t="array" ref="A4">'Fundos Imobiliários - Meu Portf'!$A4</f>
        <v>PCIP11</v>
      </c>
      <c r="B4" s="42" cm="1">
        <f t="array" ref="B4">SUM('Fundos Imobiliários - Meu Portf'!H4)</f>
        <v>150</v>
      </c>
      <c r="C4" s="41" cm="1">
        <f t="array" ref="C4">D4/D6</f>
        <v>0.430861142067133</v>
      </c>
      <c r="D4" s="172" cm="1">
        <f t="array" ref="D4">'Fundos Imobiliários - Meu Portf'!K4</f>
        <v>12921</v>
      </c>
    </row>
    <row r="5" ht="22.5" customHeight="1">
      <c r="A5" t="str" s="420" cm="1">
        <f t="array" ref="A5">'Fundos Imobiliários - Meu Portf'!$A5</f>
        <v>CXCI11</v>
      </c>
      <c r="B5" s="139" cm="1">
        <f t="array" ref="B5">SUM('Fundos Imobiliários - Meu Portf'!H5)</f>
        <v>11</v>
      </c>
      <c r="C5" s="138" cm="1">
        <f t="array" ref="C5">D5/D6</f>
        <v>0.0267840172224412</v>
      </c>
      <c r="D5" s="169" cm="1">
        <f t="array" ref="D5">'Fundos Imobiliários - Meu Portf'!K5</f>
        <v>803.22</v>
      </c>
    </row>
    <row r="6" ht="22.6" customHeight="1">
      <c r="A6" s="409"/>
      <c r="B6" t="s" s="421">
        <v>155</v>
      </c>
      <c r="C6" s="427" cm="1">
        <f t="array" ref="C6">SUM(C3:C5)</f>
        <v>1</v>
      </c>
      <c r="D6" s="183" cm="1">
        <f t="array" ref="D6">D3+D5+D4</f>
        <v>29988.78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</worksheet>
</file>

<file path=xl/worksheets/sheet7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6"/>
  <sheetViews>
    <sheetView workbookViewId="0" showGridLines="0" defaultGridColor="1"/>
  </sheetViews>
  <sheetFormatPr defaultColWidth="16.3333" defaultRowHeight="21.65" customHeight="1" outlineLevelRow="0" outlineLevelCol="0"/>
  <cols>
    <col min="1" max="1" width="8.60938" style="428" customWidth="1"/>
    <col min="2" max="2" width="12.6016" style="428" customWidth="1"/>
    <col min="3" max="3" width="8.25" style="428" customWidth="1"/>
    <col min="4" max="4" width="17.3906" style="428" customWidth="1"/>
    <col min="5" max="16384" width="16.3516" style="428" customWidth="1"/>
  </cols>
  <sheetData>
    <row r="1" ht="30" customHeight="1">
      <c r="A1" t="s" s="17">
        <v>404</v>
      </c>
      <c r="B1" s="17"/>
      <c r="C1" s="17"/>
      <c r="D1" s="17"/>
    </row>
    <row r="2" ht="22.6" customHeight="1">
      <c r="A2" t="s" s="418">
        <v>292</v>
      </c>
      <c r="B2" t="s" s="419">
        <v>408</v>
      </c>
      <c r="C2" t="s" s="423">
        <v>390</v>
      </c>
      <c r="D2" t="s" s="19">
        <v>409</v>
      </c>
    </row>
    <row r="3" ht="22.5" customHeight="1">
      <c r="A3" t="str" s="420" cm="1">
        <f t="array" ref="A3">'Reit''s - Meu Portfólio'!$A3</f>
        <v>PSA</v>
      </c>
      <c r="B3" s="139" cm="1">
        <f t="array" ref="B3">SUM('Reit''s - Meu Portfólio'!H3)</f>
        <v>1.907</v>
      </c>
      <c r="C3" s="138" cm="1">
        <f t="array" ref="C3">D3/D6</f>
        <v>0.365448436260201</v>
      </c>
      <c r="D3" s="169" cm="1">
        <f t="array" ref="D3">'Reit''s - Meu Portfólio'!K3</f>
        <v>2887.876792836</v>
      </c>
    </row>
    <row r="4" ht="22.5" customHeight="1">
      <c r="A4" t="str" s="424" cm="1">
        <f t="array" ref="A4">'Reit''s - Meu Portfólio'!$A4</f>
        <v>VICI</v>
      </c>
      <c r="B4" s="42" cm="1">
        <f t="array" ref="B4">SUM('Reit''s - Meu Portfólio'!H4)</f>
        <v>17.825</v>
      </c>
      <c r="C4" s="41" cm="1">
        <f t="array" ref="C4">D4/D6</f>
        <v>0.317924924389629</v>
      </c>
      <c r="D4" s="172" cm="1">
        <f t="array" ref="D4">'Reit''s - Meu Portfólio'!K4</f>
        <v>2512.3325753</v>
      </c>
    </row>
    <row r="5" ht="22.5" customHeight="1">
      <c r="A5" t="str" s="420" cm="1">
        <f t="array" ref="A5">'Reit''s - Meu Portfólio'!$A5</f>
        <v>AMT</v>
      </c>
      <c r="B5" s="139" cm="1">
        <f t="array" ref="B5">SUM('Fundos Imobiliários - Meu Portf'!H5)</f>
        <v>11</v>
      </c>
      <c r="C5" s="138" cm="1">
        <f t="array" ref="C5">D5/D6</f>
        <v>0.316626639350171</v>
      </c>
      <c r="D5" s="169" cm="1">
        <f t="array" ref="D5">'Reit''s - Meu Portfólio'!K5</f>
        <v>2502.073160116</v>
      </c>
    </row>
    <row r="6" ht="22.6" customHeight="1">
      <c r="A6" s="409"/>
      <c r="B6" t="s" s="421">
        <v>155</v>
      </c>
      <c r="C6" s="427" cm="1">
        <f t="array" ref="C6">SUM(C3:C5)</f>
        <v>1</v>
      </c>
      <c r="D6" s="183" cm="1">
        <f t="array" ref="D6">D3+D5+D4</f>
        <v>7902.282528252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</worksheet>
</file>

<file path=xl/worksheets/sheet80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4"/>
  <sheetViews>
    <sheetView workbookViewId="0" showGridLines="0" defaultGridColor="1"/>
  </sheetViews>
  <sheetFormatPr defaultColWidth="16.3333" defaultRowHeight="21.65" customHeight="1" outlineLevelRow="0" outlineLevelCol="0"/>
  <cols>
    <col min="1" max="1" width="8.60938" style="429" customWidth="1"/>
    <col min="2" max="2" width="12.6016" style="429" customWidth="1"/>
    <col min="3" max="3" width="8.25" style="429" customWidth="1"/>
    <col min="4" max="4" width="17.3906" style="429" customWidth="1"/>
    <col min="5" max="16384" width="16.3516" style="429" customWidth="1"/>
  </cols>
  <sheetData>
    <row r="1" ht="30" customHeight="1">
      <c r="A1" t="s" s="17">
        <v>194</v>
      </c>
      <c r="B1" s="17"/>
      <c r="C1" s="17"/>
      <c r="D1" s="17"/>
    </row>
    <row r="2" ht="22.6" customHeight="1">
      <c r="A2" t="s" s="418">
        <v>292</v>
      </c>
      <c r="B2" t="s" s="419">
        <v>408</v>
      </c>
      <c r="C2" t="s" s="423">
        <v>390</v>
      </c>
      <c r="D2" t="s" s="19">
        <v>409</v>
      </c>
    </row>
    <row r="3" ht="22.5" customHeight="1">
      <c r="A3" t="str" s="430" cm="1">
        <f t="array" ref="A3">'STOCKS - Meu Portfólio'!$A3</f>
        <v>RACE</v>
      </c>
      <c r="B3" s="139" cm="1">
        <f t="array" ref="B3">SUM('STOCKS - Meu Portfólio'!H3)</f>
        <v>1.99</v>
      </c>
      <c r="C3" s="358" cm="1">
        <f t="array" ref="C3">D3/D4</f>
        <v>1</v>
      </c>
      <c r="D3" s="169" cm="1">
        <f t="array" ref="D3">'STOCKS - Meu Portfólio'!K3</f>
        <v>3287.61766024</v>
      </c>
    </row>
    <row r="4" ht="22.6" customHeight="1">
      <c r="A4" s="409"/>
      <c r="B4" t="s" s="421">
        <v>155</v>
      </c>
      <c r="C4" s="427" cm="1">
        <f t="array" ref="C4">C3</f>
        <v>1</v>
      </c>
      <c r="D4" s="183" cm="1">
        <f t="array" ref="D4">D3</f>
        <v>3287.61766024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</worksheet>
</file>

<file path=xl/worksheets/sheet8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5"/>
  <sheetViews>
    <sheetView workbookViewId="0" showGridLines="0" defaultGridColor="1"/>
  </sheetViews>
  <sheetFormatPr defaultColWidth="16.3333" defaultRowHeight="21.65" customHeight="1" outlineLevelRow="0" outlineLevelCol="0"/>
  <cols>
    <col min="1" max="1" width="15.4219" style="431" customWidth="1"/>
    <col min="2" max="2" width="12.6016" style="431" customWidth="1"/>
    <col min="3" max="3" width="10.0938" style="431" customWidth="1"/>
    <col min="4" max="4" width="17.3906" style="431" customWidth="1"/>
    <col min="5" max="16384" width="16.3516" style="431" customWidth="1"/>
  </cols>
  <sheetData>
    <row r="1" ht="30" customHeight="1">
      <c r="A1" t="s" s="17">
        <v>205</v>
      </c>
      <c r="B1" s="17"/>
      <c r="C1" s="17"/>
      <c r="D1" s="17"/>
    </row>
    <row r="2" ht="22.6" customHeight="1">
      <c r="A2" t="s" s="418">
        <v>292</v>
      </c>
      <c r="B2" t="s" s="419">
        <v>408</v>
      </c>
      <c r="C2" t="s" s="423">
        <v>390</v>
      </c>
      <c r="D2" t="s" s="19">
        <v>409</v>
      </c>
    </row>
    <row r="3" ht="22.5" customHeight="1">
      <c r="A3" t="str" s="430" cm="1">
        <f t="array" ref="A3">'CDB - Meu Portfólio'!B3</f>
        <v>CDB XP - JAN/28</v>
      </c>
      <c r="B3" s="139" cm="1">
        <f t="array" ref="B3">SUM('CDB - Meu Portfólio'!I3)</f>
        <v>1000</v>
      </c>
      <c r="C3" s="138" cm="1">
        <f t="array" ref="C3">D3/D5</f>
        <v>0.484617059298116</v>
      </c>
      <c r="D3" s="169" cm="1">
        <f t="array" ref="D3">'CDB - Meu Portfólio'!R6</f>
        <v>1045.350222123240</v>
      </c>
    </row>
    <row r="4" ht="22.5" customHeight="1">
      <c r="A4" t="str" s="430" cm="1">
        <f t="array" ref="A4">'CDB - Meu Portfólio-1'!B3</f>
        <v>CDB XP - AGO/26</v>
      </c>
      <c r="B4" s="42" cm="1">
        <f t="array" ref="B4">'CDB - Meu Portfólio-1'!O3</f>
        <v>1</v>
      </c>
      <c r="C4" s="41" cm="1">
        <f t="array" ref="C4">D4/D5</f>
        <v>0.515382940701884</v>
      </c>
      <c r="D4" s="172" cm="1">
        <f t="array" ref="D4">'CDB - Meu Portfólio-1'!K6</f>
        <v>1111.714210641980</v>
      </c>
    </row>
    <row r="5" ht="22.6" customHeight="1">
      <c r="A5" s="432"/>
      <c r="B5" t="s" s="410">
        <v>155</v>
      </c>
      <c r="C5" s="433" cm="1">
        <f t="array" ref="C5">SUM(C3:C4)</f>
        <v>1</v>
      </c>
      <c r="D5" s="411" cm="1">
        <f t="array" ref="D5">D3+D4</f>
        <v>2157.064432765220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</worksheet>
</file>

<file path=xl/worksheets/sheet8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7"/>
  <sheetViews>
    <sheetView workbookViewId="0" showGridLines="0" defaultGridColor="1"/>
  </sheetViews>
  <sheetFormatPr defaultColWidth="16.3333" defaultRowHeight="21.65" customHeight="1" outlineLevelRow="0" outlineLevelCol="0"/>
  <cols>
    <col min="1" max="1" width="20.2812" style="434" customWidth="1"/>
    <col min="2" max="2" width="12.6016" style="434" customWidth="1"/>
    <col min="3" max="3" width="9.71875" style="434" customWidth="1"/>
    <col min="4" max="4" width="17.3906" style="434" customWidth="1"/>
    <col min="5" max="16384" width="16.3516" style="434" customWidth="1"/>
  </cols>
  <sheetData>
    <row r="1" ht="30" customHeight="1">
      <c r="A1" t="s" s="17">
        <v>246</v>
      </c>
      <c r="B1" s="17"/>
      <c r="C1" s="17"/>
      <c r="D1" s="17"/>
    </row>
    <row r="2" ht="22.6" customHeight="1">
      <c r="A2" t="s" s="418">
        <v>292</v>
      </c>
      <c r="B2" t="s" s="419">
        <v>408</v>
      </c>
      <c r="C2" t="s" s="423">
        <v>390</v>
      </c>
      <c r="D2" t="s" s="19">
        <v>409</v>
      </c>
    </row>
    <row r="3" ht="22.5" customHeight="1">
      <c r="A3" t="str" s="430" cm="1">
        <f t="array" ref="A3">'CRI_CRA - Meu Portfólio'!B3</f>
        <v>AÇO VERDE - JUN/29</v>
      </c>
      <c r="B3" s="139" cm="1">
        <f t="array" ref="B3">SUM('CRI_CRA - Meu Portfólio'!O3)</f>
        <v>39</v>
      </c>
      <c r="C3" s="138" cm="1">
        <f t="array" ref="C3">D3/D7</f>
        <v>0.209515888920887</v>
      </c>
      <c r="D3" s="169" cm="1">
        <f t="array" ref="D3">'CRI_CRA - Meu Portfólio'!R3</f>
        <v>44509.92</v>
      </c>
    </row>
    <row r="4" ht="22.5" customHeight="1">
      <c r="A4" t="str" s="430" cm="1">
        <f t="array" ref="A4">'CRI_CRA - Meu Portfólio-1'!B4</f>
        <v>BTG PACTUAL - NOV/33</v>
      </c>
      <c r="B4" s="42" cm="1">
        <f t="array" ref="B4">'CRI_CRA - Meu Portfólio-1'!J4</f>
        <v>1</v>
      </c>
      <c r="C4" s="41" cm="1">
        <f t="array" ref="C4">D4/D7</f>
        <v>0.407199169052183</v>
      </c>
      <c r="D4" s="172" cm="1">
        <f t="array" ref="D4">'CRI_CRA - Meu Portfólio-1'!M4</f>
        <v>86506.100000000006</v>
      </c>
    </row>
    <row r="5" ht="22.5" customHeight="1">
      <c r="A5" t="str" s="430" cm="1">
        <f t="array" ref="A5">'CRI_CRA - Meu Portfólio-1'!B5</f>
        <v>MATEUS SUP JUL/34</v>
      </c>
      <c r="B5" s="139" cm="1">
        <f t="array" ref="B5">'CRI_CRA - Meu Portfólio-1'!J5</f>
        <v>42</v>
      </c>
      <c r="C5" s="138" cm="1">
        <f t="array" ref="C5">D5/D7</f>
        <v>0.172960925663667</v>
      </c>
      <c r="D5" s="169" cm="1">
        <f t="array" ref="D5">'CRI_CRA - Meu Portfólio-1'!M5</f>
        <v>36744.12</v>
      </c>
    </row>
    <row r="6" ht="22.5" customHeight="1">
      <c r="A6" t="str" s="430" cm="1">
        <f t="array" ref="A6">'CRI_CRA - Meu Portfólio-1'!B6</f>
        <v>SÃO CARLOS SET/29</v>
      </c>
      <c r="B6" s="42" cm="1">
        <f t="array" ref="B6">'CRI_CRA - Meu Portfólio-1'!J6</f>
        <v>40</v>
      </c>
      <c r="C6" s="41" cm="1">
        <f t="array" ref="C6">D6/D7</f>
        <v>0.210324016363263</v>
      </c>
      <c r="D6" s="172" cm="1">
        <f t="array" ref="D6">'CRI_CRA - Meu Portfólio-1'!M6</f>
        <v>44681.6</v>
      </c>
    </row>
    <row r="7" ht="22.6" customHeight="1">
      <c r="A7" s="432"/>
      <c r="B7" t="s" s="410">
        <v>155</v>
      </c>
      <c r="C7" s="433" cm="1">
        <f t="array" ref="C7">SUM(C3:C6)</f>
        <v>1</v>
      </c>
      <c r="D7" s="411" cm="1">
        <f t="array" ref="D7">D3+D4+D5+D6</f>
        <v>212441.74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</worksheet>
</file>

<file path=xl/worksheets/sheet8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5"/>
  <sheetViews>
    <sheetView workbookViewId="0" showGridLines="0" defaultGridColor="1"/>
  </sheetViews>
  <sheetFormatPr defaultColWidth="16.3333" defaultRowHeight="21.65" customHeight="1" outlineLevelRow="0" outlineLevelCol="0"/>
  <cols>
    <col min="1" max="1" width="20.2812" style="435" customWidth="1"/>
    <col min="2" max="2" width="12.6016" style="435" customWidth="1"/>
    <col min="3" max="3" width="8.25" style="435" customWidth="1"/>
    <col min="4" max="4" width="17.3906" style="435" customWidth="1"/>
    <col min="5" max="16384" width="16.3516" style="435" customWidth="1"/>
  </cols>
  <sheetData>
    <row r="1" ht="30" customHeight="1">
      <c r="A1" t="s" s="17">
        <v>292</v>
      </c>
      <c r="B1" s="17"/>
      <c r="C1" s="17"/>
      <c r="D1" s="17"/>
    </row>
    <row r="2" ht="22.6" customHeight="1">
      <c r="A2" t="s" s="418">
        <v>292</v>
      </c>
      <c r="B2" t="s" s="419">
        <v>408</v>
      </c>
      <c r="C2" t="s" s="423">
        <v>390</v>
      </c>
      <c r="D2" t="s" s="19">
        <v>409</v>
      </c>
    </row>
    <row r="3" ht="22.5" customHeight="1">
      <c r="A3" t="str" s="430" cm="1">
        <f t="array" ref="A3">'FUNDOS - Meu Portfólio'!B3</f>
        <v>FUNDO 24H XP</v>
      </c>
      <c r="B3" s="139" cm="1">
        <f t="array" ref="B3">SUM('FUNDOS - Meu Portfólio'!I3)</f>
        <v>1</v>
      </c>
      <c r="C3" s="138" cm="1">
        <f t="array" ref="C3">D3/D5</f>
        <v>0.584878032302541</v>
      </c>
      <c r="D3" s="169" cm="1">
        <f t="array" ref="D3">'FUNDOS - Meu Portfólio'!L3</f>
        <v>101982.03</v>
      </c>
    </row>
    <row r="4" ht="22.5" customHeight="1">
      <c r="A4" t="str" s="430" cm="1">
        <f t="array" ref="A4">'FUNDOS - Meu Portfólio'!B4</f>
        <v>BNP PARIBAS</v>
      </c>
      <c r="B4" s="42" cm="1">
        <f t="array" ref="B4">SUM('FUNDOS - Meu Portfólio'!I4)</f>
        <v>0</v>
      </c>
      <c r="C4" s="41" cm="1">
        <f t="array" ref="C4">D4/D5</f>
        <v>0.415121967697459</v>
      </c>
      <c r="D4" s="172" cm="1">
        <f t="array" ref="D4">'FUNDOS - Meu Portfólio'!L5</f>
        <v>72382.58</v>
      </c>
    </row>
    <row r="5" ht="22.6" customHeight="1">
      <c r="A5" s="432"/>
      <c r="B5" t="s" s="410">
        <v>155</v>
      </c>
      <c r="C5" s="433" cm="1">
        <f t="array" ref="C5">SUM(C3:C4)</f>
        <v>1</v>
      </c>
      <c r="D5" s="411" cm="1">
        <f t="array" ref="D5">D3+D4</f>
        <v>174364.61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</worksheet>
</file>

<file path=xl/worksheets/sheet8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5"/>
  <sheetViews>
    <sheetView workbookViewId="0" showGridLines="0" defaultGridColor="1"/>
  </sheetViews>
  <sheetFormatPr defaultColWidth="16.3333" defaultRowHeight="21.65" customHeight="1" outlineLevelRow="0" outlineLevelCol="0"/>
  <cols>
    <col min="1" max="1" width="20.2812" style="436" customWidth="1"/>
    <col min="2" max="2" width="12.6016" style="436" customWidth="1"/>
    <col min="3" max="3" width="9.71875" style="436" customWidth="1"/>
    <col min="4" max="4" width="17.3906" style="436" customWidth="1"/>
    <col min="5" max="16384" width="16.3516" style="436" customWidth="1"/>
  </cols>
  <sheetData>
    <row r="1" ht="30" customHeight="1">
      <c r="A1" t="s" s="17">
        <v>303</v>
      </c>
      <c r="B1" s="17"/>
      <c r="C1" s="17"/>
      <c r="D1" s="17"/>
    </row>
    <row r="2" ht="22.6" customHeight="1">
      <c r="A2" t="s" s="418">
        <v>292</v>
      </c>
      <c r="B2" t="s" s="419">
        <v>408</v>
      </c>
      <c r="C2" t="s" s="423">
        <v>390</v>
      </c>
      <c r="D2" t="s" s="19">
        <v>409</v>
      </c>
    </row>
    <row r="3" ht="22.5" customHeight="1">
      <c r="A3" t="str" s="430" cm="1">
        <f t="array" ref="A3">'LCI_LCA - Meu Portfólio'!B3</f>
        <v>LCI BRB - MAI26</v>
      </c>
      <c r="B3" s="139" cm="1">
        <f t="array" ref="B3">SUM('LCI_LCA - Meu Portfólio'!J3)</f>
        <v>10</v>
      </c>
      <c r="C3" s="138" cm="1">
        <f t="array" ref="C3">D3/D5</f>
        <v>0.508440322807719</v>
      </c>
      <c r="D3" s="169" cm="1">
        <f t="array" ref="D3">'LCI_LCA - Meu Portfólio'!M3</f>
        <v>11195.5</v>
      </c>
    </row>
    <row r="4" ht="22.5" customHeight="1">
      <c r="A4" t="str" s="430" cm="1">
        <f t="array" ref="A4">'LCI_LCA - Meu Portfólio'!B4</f>
        <v>BANCO RB - JUN/26</v>
      </c>
      <c r="B4" s="42" cm="1">
        <f t="array" ref="B4">SUM('LCI_LCA - Meu Portfólio'!J4)</f>
        <v>10</v>
      </c>
      <c r="C4" s="41" cm="1">
        <f t="array" ref="C4">D4/D5</f>
        <v>0.491559677192281</v>
      </c>
      <c r="D4" s="172" cm="1">
        <f t="array" ref="D4">'LCI_LCA - Meu Portfólio'!M4</f>
        <v>10823.8</v>
      </c>
    </row>
    <row r="5" ht="22.6" customHeight="1">
      <c r="A5" s="432"/>
      <c r="B5" t="s" s="410">
        <v>155</v>
      </c>
      <c r="C5" s="433" cm="1">
        <f t="array" ref="C5">SUM(C3:C4)</f>
        <v>1</v>
      </c>
      <c r="D5" s="411" cm="1">
        <f t="array" ref="D5">D3+D4</f>
        <v>22019.3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</worksheet>
</file>

<file path=xl/worksheets/sheet8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7"/>
  <sheetViews>
    <sheetView workbookViewId="0" showGridLines="0" defaultGridColor="1"/>
  </sheetViews>
  <sheetFormatPr defaultColWidth="16.3333" defaultRowHeight="21.65" customHeight="1" outlineLevelRow="0" outlineLevelCol="0"/>
  <cols>
    <col min="1" max="1" width="20.2812" style="437" customWidth="1"/>
    <col min="2" max="2" width="12.6016" style="437" customWidth="1"/>
    <col min="3" max="3" width="9.89844" style="437" customWidth="1"/>
    <col min="4" max="4" width="17.3906" style="437" customWidth="1"/>
    <col min="5" max="16384" width="16.3516" style="437" customWidth="1"/>
  </cols>
  <sheetData>
    <row r="1" ht="30" customHeight="1">
      <c r="A1" t="s" s="17">
        <v>405</v>
      </c>
      <c r="B1" s="17"/>
      <c r="C1" s="17"/>
      <c r="D1" s="17"/>
    </row>
    <row r="2" ht="22.6" customHeight="1">
      <c r="A2" t="s" s="418">
        <v>292</v>
      </c>
      <c r="B2" t="s" s="419">
        <v>408</v>
      </c>
      <c r="C2" t="s" s="423">
        <v>390</v>
      </c>
      <c r="D2" t="s" s="19">
        <v>409</v>
      </c>
    </row>
    <row r="3" ht="22.5" customHeight="1">
      <c r="A3" t="str" s="430" cm="1">
        <f t="array" ref="A3">'Tesouro Direto - TESOURO IPCA +'!A6</f>
        <v>IPCA+ 2040</v>
      </c>
      <c r="B3" s="139" cm="1">
        <f t="array" ref="B3">SUM('Tesouro Direto - TESOURO IPCA +'!C6)</f>
        <v>28.74</v>
      </c>
      <c r="C3" s="138" cm="1">
        <f t="array" ref="C3">D3/D7</f>
        <v>0.216028825434418</v>
      </c>
      <c r="D3" s="169" cm="1">
        <f t="array" ref="D3">'Tesouro Direto - TESOURO IPCA +'!P6</f>
        <v>50783.9572199803</v>
      </c>
    </row>
    <row r="4" ht="22.5" customHeight="1">
      <c r="A4" t="str" s="430" cm="1">
        <f t="array" ref="A4">'Tesouro Direto - TESOURO IPCA 1'!A6</f>
        <v>IPCA+ 2050</v>
      </c>
      <c r="B4" s="42" cm="1">
        <f t="array" ref="B4">SUM('Tesouro Direto - TESOURO IPCA 1'!C6)</f>
        <v>22.72</v>
      </c>
      <c r="C4" s="41" cm="1">
        <f t="array" ref="C4">D4/D7</f>
        <v>0.0894884270965203</v>
      </c>
      <c r="D4" s="172" cm="1">
        <f t="array" ref="D4">'Tesouro Direto - TESOURO IPCA 1'!P6</f>
        <v>21036.8984056373</v>
      </c>
    </row>
    <row r="5" ht="22.5" customHeight="1">
      <c r="A5" t="str" s="430" cm="1">
        <f t="array" ref="A5">'Tesouro Direto - NTN-B Principa'!A6</f>
        <v>NTN-B - 2060</v>
      </c>
      <c r="B5" s="139" cm="1">
        <f t="array" ref="B5">SUM('Tesouro Direto - NTN-B Principa'!C6)</f>
        <v>184</v>
      </c>
      <c r="C5" s="138" cm="1">
        <f t="array" ref="C5">D5/D7</f>
        <v>0.451224557432094</v>
      </c>
      <c r="D5" s="169" cm="1">
        <f t="array" ref="D5">'Tesouro Direto - NTN-B Principa'!P6</f>
        <v>106073.662045589</v>
      </c>
    </row>
    <row r="6" ht="22.5" customHeight="1">
      <c r="A6" t="str" s="430" cm="1">
        <f t="array" ref="A6">'Tesouro Direto - NTN-B Princip1'!A6</f>
        <v>NTN-B - 2050</v>
      </c>
      <c r="B6" s="42" cm="1">
        <f t="array" ref="B6">SUM('Tesouro Direto - NTN-B Princip1'!C6)</f>
        <v>54</v>
      </c>
      <c r="C6" s="438" cm="1">
        <f t="array" ref="C6">D6/D7</f>
        <v>0.243258190036969</v>
      </c>
      <c r="D6" s="172" cm="1">
        <f t="array" ref="D6">'Tesouro Direto - NTN-B Princip1'!P6</f>
        <v>57185.0237643288</v>
      </c>
    </row>
    <row r="7" ht="22.6" customHeight="1">
      <c r="A7" s="432"/>
      <c r="B7" t="s" s="410">
        <v>155</v>
      </c>
      <c r="C7" s="433" cm="1">
        <f t="array" ref="C7">SUM(C3:C6)</f>
        <v>1</v>
      </c>
      <c r="D7" s="411" cm="1">
        <f t="array" ref="D7">D3+D4+D5+D6</f>
        <v>235079.541435535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  <drawing r:id="rId1"/>
  <legacyDrawing r:id="rId2"/>
</worksheet>
</file>

<file path=xl/worksheets/sheet8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style="439" customWidth="1"/>
  </cols>
  <sheetData/>
  <pageMargins left="1" right="1" top="1" bottom="1" header="0.25" footer="0.25"/>
  <pageSetup firstPageNumber="1" fitToHeight="1" fitToWidth="1" scale="100" useFirstPageNumber="0" orientation="portrait" pageOrder="downThenOver"/>
  <headerFooter>
    <oddFooter>&amp;C&amp;"Avenir Next Regular,Regular"&amp;11&amp;K000000&amp;P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