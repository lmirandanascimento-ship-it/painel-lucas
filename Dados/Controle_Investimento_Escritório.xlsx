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casturquino/Library/CloudStorage/Dropbox/INVESTIMENTOS/"/>
    </mc:Choice>
  </mc:AlternateContent>
  <xr:revisionPtr revIDLastSave="0" documentId="13_ncr:1_{EDF4FC21-DF95-2E4E-9FF4-EE1AC6E7D7A5}" xr6:coauthVersionLast="47" xr6:coauthVersionMax="47" xr10:uidLastSave="{00000000-0000-0000-0000-000000000000}"/>
  <bookViews>
    <workbookView xWindow="0" yWindow="680" windowWidth="34200" windowHeight="19640" tabRatio="500" activeTab="1" xr2:uid="{00000000-000D-0000-FFFF-FFFF00000000}"/>
  </bookViews>
  <sheets>
    <sheet name="Painel" sheetId="1" r:id="rId1"/>
    <sheet name="Movimentações" sheetId="2" r:id="rId2"/>
    <sheet name="Evoluçã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H5" i="2"/>
  <c r="D12" i="1"/>
  <c r="C12" i="1"/>
  <c r="F6" i="2"/>
  <c r="E5" i="3"/>
  <c r="B5" i="3"/>
  <c r="F30" i="2"/>
  <c r="E30" i="2"/>
  <c r="G6" i="2"/>
  <c r="C6" i="2"/>
  <c r="B6" i="3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G5" i="2"/>
  <c r="D6" i="3" l="1"/>
  <c r="H6" i="2"/>
  <c r="C7" i="2"/>
  <c r="C6" i="3"/>
  <c r="E6" i="3" l="1"/>
  <c r="F7" i="2"/>
  <c r="G7" i="2" s="1"/>
  <c r="H7" i="2" s="1"/>
  <c r="C8" i="2"/>
  <c r="B7" i="3"/>
  <c r="C7" i="3" l="1"/>
  <c r="E7" i="3"/>
  <c r="F8" i="2"/>
  <c r="C9" i="2"/>
  <c r="B8" i="3"/>
  <c r="D7" i="3"/>
  <c r="G8" i="2" l="1"/>
  <c r="H8" i="2" s="1"/>
  <c r="C8" i="3"/>
  <c r="C10" i="2"/>
  <c r="B9" i="3"/>
  <c r="E8" i="3" l="1"/>
  <c r="F9" i="2"/>
  <c r="C11" i="2"/>
  <c r="B10" i="3"/>
  <c r="D8" i="3"/>
  <c r="C9" i="3" l="1"/>
  <c r="G9" i="2"/>
  <c r="B11" i="3"/>
  <c r="C12" i="2"/>
  <c r="B12" i="3" l="1"/>
  <c r="C13" i="2"/>
  <c r="D9" i="3"/>
  <c r="H9" i="2"/>
  <c r="B12" i="1" s="1"/>
  <c r="E9" i="3" l="1"/>
  <c r="F10" i="2"/>
  <c r="C10" i="3" s="1"/>
  <c r="B13" i="3"/>
  <c r="C14" i="2"/>
  <c r="G10" i="2" l="1"/>
  <c r="D10" i="3" s="1"/>
  <c r="B14" i="3"/>
  <c r="C15" i="2"/>
  <c r="H10" i="2" l="1"/>
  <c r="E10" i="3" s="1"/>
  <c r="C16" i="2"/>
  <c r="B15" i="3"/>
  <c r="F11" i="2" l="1"/>
  <c r="C11" i="3" s="1"/>
  <c r="C17" i="2"/>
  <c r="B16" i="3"/>
  <c r="G11" i="2" l="1"/>
  <c r="D11" i="3" s="1"/>
  <c r="C18" i="2"/>
  <c r="B17" i="3"/>
  <c r="H11" i="2" l="1"/>
  <c r="E11" i="3" s="1"/>
  <c r="C19" i="2"/>
  <c r="B18" i="3"/>
  <c r="F12" i="2" l="1"/>
  <c r="C12" i="3" s="1"/>
  <c r="G12" i="2"/>
  <c r="B19" i="3"/>
  <c r="C20" i="2"/>
  <c r="D12" i="3" l="1"/>
  <c r="H12" i="2"/>
  <c r="B20" i="3"/>
  <c r="C21" i="2"/>
  <c r="E12" i="3" l="1"/>
  <c r="F13" i="2"/>
  <c r="B21" i="3"/>
  <c r="C22" i="2"/>
  <c r="C13" i="3" l="1"/>
  <c r="G13" i="2"/>
  <c r="D13" i="3" s="1"/>
  <c r="B22" i="3"/>
  <c r="C23" i="2"/>
  <c r="H13" i="2" l="1"/>
  <c r="C24" i="2"/>
  <c r="B23" i="3"/>
  <c r="E13" i="3" l="1"/>
  <c r="F14" i="2"/>
  <c r="C25" i="2"/>
  <c r="B24" i="3"/>
  <c r="G14" i="2" l="1"/>
  <c r="C14" i="3"/>
  <c r="C26" i="2"/>
  <c r="B25" i="3"/>
  <c r="H14" i="2" l="1"/>
  <c r="D14" i="3"/>
  <c r="C27" i="2"/>
  <c r="B26" i="3"/>
  <c r="F15" i="2" l="1"/>
  <c r="E14" i="3"/>
  <c r="B27" i="3"/>
  <c r="C28" i="2"/>
  <c r="G15" i="2" l="1"/>
  <c r="C15" i="3"/>
  <c r="B28" i="3"/>
  <c r="C29" i="2"/>
  <c r="H15" i="2" l="1"/>
  <c r="D15" i="3"/>
  <c r="B29" i="3"/>
  <c r="E15" i="3" l="1"/>
  <c r="F16" i="2"/>
  <c r="E12" i="1"/>
  <c r="C16" i="3" l="1"/>
  <c r="G16" i="2"/>
  <c r="D16" i="3" s="1"/>
  <c r="H16" i="2" l="1"/>
  <c r="E16" i="3"/>
  <c r="F17" i="2"/>
  <c r="G17" i="2" l="1"/>
  <c r="D17" i="3" s="1"/>
  <c r="C17" i="3"/>
  <c r="H17" i="2" l="1"/>
  <c r="F18" i="2" l="1"/>
  <c r="E17" i="3"/>
  <c r="C18" i="3" l="1"/>
  <c r="G18" i="2"/>
  <c r="D18" i="3" s="1"/>
  <c r="H18" i="2" l="1"/>
  <c r="F19" i="2" l="1"/>
  <c r="E18" i="3"/>
  <c r="C19" i="3" l="1"/>
  <c r="G19" i="2"/>
  <c r="D19" i="3" s="1"/>
  <c r="H19" i="2"/>
  <c r="E19" i="3" l="1"/>
  <c r="F20" i="2"/>
  <c r="C20" i="3" l="1"/>
  <c r="G20" i="2"/>
  <c r="D20" i="3" s="1"/>
  <c r="H20" i="2" l="1"/>
  <c r="E20" i="3"/>
  <c r="F21" i="2"/>
  <c r="C21" i="3" l="1"/>
  <c r="G21" i="2"/>
  <c r="D21" i="3" s="1"/>
  <c r="H21" i="2" l="1"/>
  <c r="E21" i="3" l="1"/>
  <c r="F22" i="2"/>
  <c r="G22" i="2" l="1"/>
  <c r="C22" i="3"/>
  <c r="H22" i="2" l="1"/>
  <c r="D22" i="3"/>
  <c r="F23" i="2" l="1"/>
  <c r="E22" i="3"/>
  <c r="G23" i="2" l="1"/>
  <c r="D23" i="3" s="1"/>
  <c r="C23" i="3"/>
  <c r="H23" i="2"/>
  <c r="E23" i="3" l="1"/>
  <c r="F24" i="2"/>
  <c r="C24" i="3" l="1"/>
  <c r="G24" i="2"/>
  <c r="D24" i="3" s="1"/>
  <c r="H24" i="2" l="1"/>
  <c r="E24" i="3" l="1"/>
  <c r="F25" i="2"/>
  <c r="C25" i="3" l="1"/>
  <c r="G25" i="2"/>
  <c r="D25" i="3" s="1"/>
  <c r="H25" i="2" l="1"/>
  <c r="E25" i="3" s="1"/>
  <c r="F26" i="2" l="1"/>
  <c r="G26" i="2"/>
  <c r="H26" i="2" s="1"/>
  <c r="C26" i="3"/>
  <c r="E26" i="3" l="1"/>
  <c r="F27" i="2"/>
  <c r="D26" i="3"/>
  <c r="C27" i="3" l="1"/>
  <c r="G27" i="2"/>
  <c r="H27" i="2" s="1"/>
  <c r="E27" i="3" l="1"/>
  <c r="F28" i="2"/>
  <c r="D27" i="3"/>
  <c r="G28" i="2" l="1"/>
  <c r="H28" i="2" s="1"/>
  <c r="C28" i="3"/>
  <c r="F29" i="2" l="1"/>
  <c r="E28" i="3"/>
  <c r="D28" i="3"/>
  <c r="G29" i="2" l="1"/>
  <c r="C29" i="3"/>
  <c r="H29" i="2"/>
  <c r="E29" i="3" s="1"/>
  <c r="D29" i="3" l="1"/>
  <c r="H30" i="2"/>
  <c r="G30" i="2"/>
</calcChain>
</file>

<file path=xl/sharedStrings.xml><?xml version="1.0" encoding="utf-8"?>
<sst xmlns="http://schemas.openxmlformats.org/spreadsheetml/2006/main" count="60" uniqueCount="33">
  <si>
    <t>📊  CONTROLE DE INVESTIMENTO COM RENDIMENTO MENSAL</t>
  </si>
  <si>
    <t>⚙️  PREMISSAS</t>
  </si>
  <si>
    <t>Saldo Inicial (R$)</t>
  </si>
  <si>
    <t>Taxa Mensal (%)</t>
  </si>
  <si>
    <t>Mês Inicial</t>
  </si>
  <si>
    <t>Nº de meses na tabela</t>
  </si>
  <si>
    <t>📈  POSIÇÃO ATUAL (ÚLTIMO MÊS REGISTRADO)</t>
  </si>
  <si>
    <t>Saldo Atual (R$)</t>
  </si>
  <si>
    <t>Total Aportado (R$)</t>
  </si>
  <si>
    <t>Total Retirado (R$)</t>
  </si>
  <si>
    <t>Rendimento Acumulado (R$)</t>
  </si>
  <si>
    <t>🎨  LEGENDA DE CORES</t>
  </si>
  <si>
    <t>■</t>
  </si>
  <si>
    <t>Células de entrada (editáveis pelo usuário)</t>
  </si>
  <si>
    <t>Cálculos automáticos – não editar</t>
  </si>
  <si>
    <t>Retiradas</t>
  </si>
  <si>
    <t>Aportes</t>
  </si>
  <si>
    <t>📋  MOVIMENTAÇÕES MENSAIS</t>
  </si>
  <si>
    <t>#</t>
  </si>
  <si>
    <t>Mês/Ano</t>
  </si>
  <si>
    <t>Tipo</t>
  </si>
  <si>
    <t>Valor (R$)</t>
  </si>
  <si>
    <t>Saldo Anterior (R$)</t>
  </si>
  <si>
    <t>Rendimento (R$)</t>
  </si>
  <si>
    <t>Saldo Final (R$)</t>
  </si>
  <si>
    <t>Saldo Inicial</t>
  </si>
  <si>
    <t>Nenhum</t>
  </si>
  <si>
    <t>TOTAIS</t>
  </si>
  <si>
    <t>ℹ️  Para registrar uma movimentação: selecione o Tipo na coluna D (Aporte ou Retirada) e insira o valor em R$ na coluna E. O saldo será recalculado automaticamente.</t>
  </si>
  <si>
    <t>📉  EVOLUÇÃO DO SALDO</t>
  </si>
  <si>
    <t>Mês</t>
  </si>
  <si>
    <t>Rendimento Mensal (R$)</t>
  </si>
  <si>
    <t>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</si>
</sst>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9"/>
      <color rgb="FF1F3864"/>
      <name val="Arial"/>
      <family val="2"/>
    </font>
    <font>
      <b/>
      <sz val="12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1F3864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6E4F7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6" borderId="3" xfId="0" applyFont="1" applyFill="1" applyBorder="1" applyAlignment="1">
      <alignment horizontal="center" vertical="center" wrapText="1"/>
    </xf>
    <xf numFmtId="4" fontId="7" fillId="7" borderId="4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4" fontId="9" fillId="4" borderId="3" xfId="0" applyNumberFormat="1" applyFont="1" applyFill="1" applyBorder="1" applyAlignment="1">
      <alignment horizontal="center" vertical="center"/>
    </xf>
    <xf numFmtId="4" fontId="4" fillId="7" borderId="3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center" vertical="center"/>
    </xf>
    <xf numFmtId="4" fontId="9" fillId="7" borderId="3" xfId="0" applyNumberFormat="1" applyFont="1" applyFill="1" applyBorder="1" applyAlignment="1">
      <alignment horizontal="center" vertical="center"/>
    </xf>
    <xf numFmtId="4" fontId="4" fillId="6" borderId="3" xfId="0" applyNumberFormat="1" applyFont="1" applyFill="1" applyBorder="1" applyAlignment="1">
      <alignment horizontal="center" vertical="center"/>
    </xf>
    <xf numFmtId="4" fontId="4" fillId="8" borderId="3" xfId="0" applyNumberFormat="1" applyFont="1" applyFill="1" applyBorder="1" applyAlignment="1">
      <alignment horizontal="center" vertical="center"/>
    </xf>
    <xf numFmtId="4" fontId="4" fillId="9" borderId="0" xfId="0" applyNumberFormat="1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0" fontId="5" fillId="5" borderId="2" xfId="0" applyNumberFormat="1" applyFont="1" applyFill="1" applyBorder="1" applyAlignment="1">
      <alignment horizontal="center" vertical="center"/>
    </xf>
    <xf numFmtId="17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" fontId="5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do Saldo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Evolução!$E$4</c:f>
              <c:strCache>
                <c:ptCount val="1"/>
                <c:pt idx="0">
                  <c:v>Saldo Final (R$)</c:v>
                </c:pt>
              </c:strCache>
            </c:strRef>
          </c:tx>
          <c:spPr>
            <a:ln w="2016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Evolução!$B$5:$B$29</c:f>
              <c:numCache>
                <c:formatCode>mmm/yyyy</c:formatCode>
                <c:ptCount val="25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46235</c:v>
                </c:pt>
                <c:pt idx="7">
                  <c:v>46266</c:v>
                </c:pt>
                <c:pt idx="8">
                  <c:v>46296</c:v>
                </c:pt>
                <c:pt idx="9">
                  <c:v>46327</c:v>
                </c:pt>
                <c:pt idx="10">
                  <c:v>46357</c:v>
                </c:pt>
                <c:pt idx="11">
                  <c:v>46388</c:v>
                </c:pt>
                <c:pt idx="12">
                  <c:v>46419</c:v>
                </c:pt>
                <c:pt idx="13">
                  <c:v>46447</c:v>
                </c:pt>
                <c:pt idx="14">
                  <c:v>46478</c:v>
                </c:pt>
                <c:pt idx="15">
                  <c:v>46508</c:v>
                </c:pt>
                <c:pt idx="16">
                  <c:v>46539</c:v>
                </c:pt>
                <c:pt idx="17">
                  <c:v>46569</c:v>
                </c:pt>
                <c:pt idx="18">
                  <c:v>46600</c:v>
                </c:pt>
                <c:pt idx="19">
                  <c:v>46631</c:v>
                </c:pt>
                <c:pt idx="20">
                  <c:v>46661</c:v>
                </c:pt>
                <c:pt idx="21">
                  <c:v>46692</c:v>
                </c:pt>
                <c:pt idx="22">
                  <c:v>46722</c:v>
                </c:pt>
                <c:pt idx="23">
                  <c:v>46753</c:v>
                </c:pt>
                <c:pt idx="24">
                  <c:v>46784</c:v>
                </c:pt>
              </c:numCache>
            </c:numRef>
          </c:cat>
          <c:val>
            <c:numRef>
              <c:f>Evolução!$E$5:$E$29</c:f>
              <c:numCache>
                <c:formatCode>#,##0.00</c:formatCode>
                <c:ptCount val="25"/>
                <c:pt idx="0">
                  <c:v>159772.76</c:v>
                </c:pt>
                <c:pt idx="1">
                  <c:v>203560.98760000002</c:v>
                </c:pt>
                <c:pt idx="2">
                  <c:v>240596.59747600002</c:v>
                </c:pt>
                <c:pt idx="3">
                  <c:v>272902.56345076003</c:v>
                </c:pt>
                <c:pt idx="4">
                  <c:v>302236.58908526762</c:v>
                </c:pt>
                <c:pt idx="5">
                  <c:v>305258.95497612032</c:v>
                </c:pt>
                <c:pt idx="6">
                  <c:v>308311.54452588153</c:v>
                </c:pt>
                <c:pt idx="7">
                  <c:v>311394.65997114033</c:v>
                </c:pt>
                <c:pt idx="8">
                  <c:v>314508.60657085176</c:v>
                </c:pt>
                <c:pt idx="9">
                  <c:v>317653.6926365603</c:v>
                </c:pt>
                <c:pt idx="10">
                  <c:v>320830.22956292587</c:v>
                </c:pt>
                <c:pt idx="11">
                  <c:v>324038.53185855516</c:v>
                </c:pt>
                <c:pt idx="12">
                  <c:v>327278.91717714071</c:v>
                </c:pt>
                <c:pt idx="13">
                  <c:v>330551.70634891209</c:v>
                </c:pt>
                <c:pt idx="14">
                  <c:v>333857.22341240122</c:v>
                </c:pt>
                <c:pt idx="15">
                  <c:v>337195.79564652522</c:v>
                </c:pt>
                <c:pt idx="16">
                  <c:v>340567.75360299047</c:v>
                </c:pt>
                <c:pt idx="17">
                  <c:v>343973.43113902037</c:v>
                </c:pt>
                <c:pt idx="18">
                  <c:v>347413.16545041057</c:v>
                </c:pt>
                <c:pt idx="19">
                  <c:v>350887.29710491467</c:v>
                </c:pt>
                <c:pt idx="20">
                  <c:v>354396.17007596383</c:v>
                </c:pt>
                <c:pt idx="21">
                  <c:v>357940.13177672349</c:v>
                </c:pt>
                <c:pt idx="22">
                  <c:v>361519.5330944907</c:v>
                </c:pt>
                <c:pt idx="23">
                  <c:v>365134.72842543561</c:v>
                </c:pt>
                <c:pt idx="24">
                  <c:v>368786.07570968999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B9-8847-A3D7-4ABAF9DD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566151"/>
        <c:axId val="67022695"/>
      </c:lineChart>
      <c:dateAx>
        <c:axId val="15566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ln>
                  <a:noFill/>
                </a:ln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022695"/>
        <c:crosses val="autoZero"/>
        <c:auto val="1"/>
        <c:lblOffset val="100"/>
        <c:baseTimeUnit val="months"/>
      </c:dateAx>
      <c:valAx>
        <c:axId val="67022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Saldo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566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9</xdr:col>
      <xdr:colOff>602280</xdr:colOff>
      <xdr:row>57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4179BB-7602-C849-88CD-BA60D5F8819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185e4c1-15f9-454e-9082-196ac33194b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showGridLines="0" zoomScale="194" zoomScaleNormal="100" workbookViewId="0">
      <selection activeCell="B12" sqref="B12"/>
    </sheetView>
  </sheetViews>
  <sheetFormatPr baseColWidth="10" defaultColWidth="8.6640625" defaultRowHeight="15" x14ac:dyDescent="0.2"/>
  <cols>
    <col min="1" max="1" width="5" customWidth="1"/>
    <col min="2" max="6" width="18" customWidth="1"/>
    <col min="7" max="7" width="5" customWidth="1"/>
  </cols>
  <sheetData>
    <row r="1" spans="2:6" ht="7.5" customHeight="1" x14ac:dyDescent="0.2"/>
    <row r="2" spans="2:6" ht="36" customHeight="1" x14ac:dyDescent="0.2">
      <c r="B2" s="29" t="s">
        <v>0</v>
      </c>
      <c r="C2" s="29"/>
      <c r="D2" s="29"/>
      <c r="E2" s="29"/>
      <c r="F2" s="29"/>
    </row>
    <row r="3" spans="2:6" ht="7.5" customHeight="1" x14ac:dyDescent="0.2"/>
    <row r="4" spans="2:6" ht="15" customHeight="1" x14ac:dyDescent="0.2">
      <c r="B4" s="23" t="s">
        <v>1</v>
      </c>
      <c r="C4" s="23"/>
      <c r="D4" s="30"/>
      <c r="E4" s="30"/>
      <c r="F4" s="30"/>
    </row>
    <row r="5" spans="2:6" ht="19.5" customHeight="1" x14ac:dyDescent="0.2">
      <c r="B5" s="24" t="s">
        <v>2</v>
      </c>
      <c r="C5" s="24"/>
      <c r="D5" s="31">
        <v>159772.76</v>
      </c>
      <c r="E5" s="31"/>
      <c r="F5" s="31"/>
    </row>
    <row r="6" spans="2:6" ht="19.5" customHeight="1" x14ac:dyDescent="0.2">
      <c r="B6" s="24" t="s">
        <v>3</v>
      </c>
      <c r="C6" s="24"/>
      <c r="D6" s="25">
        <v>0.01</v>
      </c>
      <c r="E6" s="25"/>
      <c r="F6" s="25"/>
    </row>
    <row r="7" spans="2:6" ht="19.5" customHeight="1" x14ac:dyDescent="0.2">
      <c r="B7" s="24" t="s">
        <v>4</v>
      </c>
      <c r="C7" s="24"/>
      <c r="D7" s="26">
        <v>46054</v>
      </c>
      <c r="E7" s="27"/>
      <c r="F7" s="27"/>
    </row>
    <row r="8" spans="2:6" ht="19.5" customHeight="1" x14ac:dyDescent="0.2">
      <c r="B8" s="24" t="s">
        <v>5</v>
      </c>
      <c r="C8" s="24"/>
      <c r="D8" s="28">
        <v>24</v>
      </c>
      <c r="E8" s="28"/>
      <c r="F8" s="28"/>
    </row>
    <row r="9" spans="2:6" ht="7.5" customHeight="1" x14ac:dyDescent="0.2"/>
    <row r="10" spans="2:6" ht="15" customHeight="1" x14ac:dyDescent="0.2">
      <c r="B10" s="23" t="s">
        <v>6</v>
      </c>
      <c r="C10" s="23"/>
      <c r="D10" s="23"/>
      <c r="E10" s="23"/>
      <c r="F10" s="23"/>
    </row>
    <row r="11" spans="2:6" ht="19.5" customHeight="1" x14ac:dyDescent="0.2">
      <c r="B11" s="1" t="s">
        <v>7</v>
      </c>
      <c r="C11" s="1" t="s">
        <v>8</v>
      </c>
      <c r="D11" s="1" t="s">
        <v>9</v>
      </c>
      <c r="E11" s="1" t="s">
        <v>10</v>
      </c>
    </row>
    <row r="12" spans="2:6" ht="27.75" customHeight="1" x14ac:dyDescent="0.2">
      <c r="B12" s="2">
        <f ca="1">IFERROR(INDEX(Movimentações!H:H,MATCH(DATE(YEAR(TODAY()),MONTH(TODAY()),1),Movimentações!C:C,0)),D5)</f>
        <v>302236.58908526762</v>
      </c>
      <c r="C12" s="2">
        <f>IFERROR(SUMIF(Movimentações!D:D,"Aporte",Movimentações!E:E),0)</f>
        <v>133695.5</v>
      </c>
      <c r="D12" s="2">
        <f>IFERROR(SUMIF(Movimentações!D:D,"Retirada",Movimentações!E:E),0)</f>
        <v>0</v>
      </c>
      <c r="E12" s="2">
        <f ca="1">IFERROR(B12-D5-C12+D12,0)</f>
        <v>8768.3290852676146</v>
      </c>
    </row>
    <row r="13" spans="2:6" ht="7.5" customHeight="1" x14ac:dyDescent="0.2"/>
    <row r="14" spans="2:6" ht="15" customHeight="1" x14ac:dyDescent="0.2">
      <c r="B14" s="23" t="s">
        <v>11</v>
      </c>
      <c r="C14" s="23"/>
      <c r="D14" s="23"/>
      <c r="E14" s="23"/>
      <c r="F14" s="23"/>
    </row>
    <row r="15" spans="2:6" ht="18" customHeight="1" x14ac:dyDescent="0.2">
      <c r="B15" s="3" t="s">
        <v>12</v>
      </c>
      <c r="C15" s="22" t="s">
        <v>13</v>
      </c>
      <c r="D15" s="22"/>
      <c r="E15" s="22"/>
      <c r="F15" s="22"/>
    </row>
    <row r="16" spans="2:6" ht="18" customHeight="1" x14ac:dyDescent="0.2">
      <c r="B16" s="4" t="s">
        <v>12</v>
      </c>
      <c r="C16" s="22" t="s">
        <v>14</v>
      </c>
      <c r="D16" s="22"/>
      <c r="E16" s="22"/>
      <c r="F16" s="22"/>
    </row>
    <row r="17" spans="2:6" ht="18" customHeight="1" x14ac:dyDescent="0.2">
      <c r="B17" s="5" t="s">
        <v>12</v>
      </c>
      <c r="C17" s="22" t="s">
        <v>15</v>
      </c>
      <c r="D17" s="22"/>
      <c r="E17" s="22"/>
      <c r="F17" s="22"/>
    </row>
    <row r="18" spans="2:6" ht="18" customHeight="1" x14ac:dyDescent="0.2">
      <c r="B18" s="6" t="s">
        <v>12</v>
      </c>
      <c r="C18" s="22" t="s">
        <v>16</v>
      </c>
      <c r="D18" s="22"/>
      <c r="E18" s="22"/>
      <c r="F18" s="22"/>
    </row>
  </sheetData>
  <mergeCells count="17">
    <mergeCell ref="B2:F2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C18:F18"/>
    <mergeCell ref="B10:F10"/>
    <mergeCell ref="B14:F14"/>
    <mergeCell ref="C15:F15"/>
    <mergeCell ref="C16:F16"/>
    <mergeCell ref="C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showGridLines="0" tabSelected="1" zoomScale="144" zoomScaleNormal="100" workbookViewId="0">
      <selection activeCell="E10" sqref="E10"/>
    </sheetView>
  </sheetViews>
  <sheetFormatPr baseColWidth="10" defaultColWidth="8.6640625" defaultRowHeight="15" x14ac:dyDescent="0.2"/>
  <cols>
    <col min="1" max="1" width="6" customWidth="1"/>
    <col min="2" max="2" width="16" customWidth="1"/>
    <col min="3" max="3" width="14" customWidth="1"/>
    <col min="4" max="4" width="18" customWidth="1"/>
    <col min="5" max="7" width="22" customWidth="1"/>
    <col min="8" max="8" width="16.33203125" customWidth="1"/>
  </cols>
  <sheetData>
    <row r="1" spans="2:8" ht="7.5" customHeight="1" x14ac:dyDescent="0.2"/>
    <row r="2" spans="2:8" ht="31.5" customHeight="1" x14ac:dyDescent="0.2">
      <c r="B2" s="19" t="s">
        <v>17</v>
      </c>
      <c r="C2" s="19"/>
      <c r="D2" s="19"/>
      <c r="E2" s="19"/>
      <c r="F2" s="19"/>
      <c r="G2" s="19"/>
    </row>
    <row r="3" spans="2:8" ht="7.5" customHeight="1" x14ac:dyDescent="0.2"/>
    <row r="4" spans="2:8" ht="21.75" customHeight="1" x14ac:dyDescent="0.2"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</row>
    <row r="5" spans="2:8" ht="19.5" customHeight="1" x14ac:dyDescent="0.2">
      <c r="B5" s="8">
        <v>0</v>
      </c>
      <c r="C5" s="9">
        <v>46054</v>
      </c>
      <c r="D5" s="10" t="s">
        <v>25</v>
      </c>
      <c r="E5" s="11">
        <v>0</v>
      </c>
      <c r="F5" s="11">
        <v>0</v>
      </c>
      <c r="G5" s="12">
        <f>Painel!D5</f>
        <v>159772.76</v>
      </c>
      <c r="H5" s="18">
        <f>G5</f>
        <v>159772.76</v>
      </c>
    </row>
    <row r="6" spans="2:8" ht="19.5" customHeight="1" x14ac:dyDescent="0.2">
      <c r="B6" s="8">
        <f t="shared" ref="B6:B29" si="0">B5+1</f>
        <v>1</v>
      </c>
      <c r="C6" s="13">
        <f t="shared" ref="C6:C29" si="1">DATE(YEAR(C5),MONTH(C5)+1,1)</f>
        <v>46082</v>
      </c>
      <c r="D6" s="3" t="s">
        <v>32</v>
      </c>
      <c r="E6" s="14">
        <f>5000+5000+20000+4643.7-1500-750-203.2+10000</f>
        <v>42190.5</v>
      </c>
      <c r="F6" s="15">
        <f>H5</f>
        <v>159772.76</v>
      </c>
      <c r="G6" s="15">
        <f>F6*Painel!$D$6</f>
        <v>1597.7276000000002</v>
      </c>
      <c r="H6" s="12">
        <f t="shared" ref="H6:H29" si="2">F6+G6+IF(D6="Aporte",E6,0)-IF(D6="Retirada",E6,0)</f>
        <v>203560.98760000002</v>
      </c>
    </row>
    <row r="7" spans="2:8" ht="19.5" customHeight="1" x14ac:dyDescent="0.2">
      <c r="B7" s="8">
        <f t="shared" si="0"/>
        <v>2</v>
      </c>
      <c r="C7" s="13">
        <f t="shared" si="1"/>
        <v>46113</v>
      </c>
      <c r="D7" s="3" t="s">
        <v>32</v>
      </c>
      <c r="E7" s="14">
        <f>13000+22000</f>
        <v>35000</v>
      </c>
      <c r="F7" s="15">
        <f t="shared" ref="F7:F29" si="3">H6</f>
        <v>203560.98760000002</v>
      </c>
      <c r="G7" s="15">
        <f>F7*Painel!$D$6</f>
        <v>2035.6098760000002</v>
      </c>
      <c r="H7" s="12">
        <f t="shared" si="2"/>
        <v>240596.59747600002</v>
      </c>
    </row>
    <row r="8" spans="2:8" ht="19.5" customHeight="1" x14ac:dyDescent="0.2">
      <c r="B8" s="8">
        <f t="shared" si="0"/>
        <v>3</v>
      </c>
      <c r="C8" s="13">
        <f t="shared" si="1"/>
        <v>46143</v>
      </c>
      <c r="D8" s="3" t="s">
        <v>32</v>
      </c>
      <c r="E8" s="14">
        <f>2900+25000+2000</f>
        <v>29900</v>
      </c>
      <c r="F8" s="15">
        <f t="shared" si="3"/>
        <v>240596.59747600002</v>
      </c>
      <c r="G8" s="15">
        <f>F8*Painel!$D$6</f>
        <v>2405.9659747600003</v>
      </c>
      <c r="H8" s="12">
        <f t="shared" si="2"/>
        <v>272902.56345076003</v>
      </c>
    </row>
    <row r="9" spans="2:8" ht="19.5" customHeight="1" x14ac:dyDescent="0.2">
      <c r="B9" s="8">
        <f t="shared" si="0"/>
        <v>4</v>
      </c>
      <c r="C9" s="13">
        <f t="shared" si="1"/>
        <v>46174</v>
      </c>
      <c r="D9" s="3" t="s">
        <v>32</v>
      </c>
      <c r="E9" s="14">
        <f>7000+10000+9605</f>
        <v>26605</v>
      </c>
      <c r="F9" s="15">
        <f t="shared" si="3"/>
        <v>272902.56345076003</v>
      </c>
      <c r="G9" s="15">
        <f>F9*Painel!$D$6</f>
        <v>2729.0256345076004</v>
      </c>
      <c r="H9" s="12">
        <f t="shared" si="2"/>
        <v>302236.58908526762</v>
      </c>
    </row>
    <row r="10" spans="2:8" ht="19.5" customHeight="1" x14ac:dyDescent="0.2">
      <c r="B10" s="8">
        <f t="shared" si="0"/>
        <v>5</v>
      </c>
      <c r="C10" s="13">
        <f t="shared" si="1"/>
        <v>46204</v>
      </c>
      <c r="D10" s="3" t="s">
        <v>26</v>
      </c>
      <c r="E10" s="14">
        <v>0</v>
      </c>
      <c r="F10" s="15">
        <f t="shared" si="3"/>
        <v>302236.58908526762</v>
      </c>
      <c r="G10" s="15">
        <f>F10*Painel!$D$6</f>
        <v>3022.3658908526763</v>
      </c>
      <c r="H10" s="12">
        <f t="shared" si="2"/>
        <v>305258.95497612032</v>
      </c>
    </row>
    <row r="11" spans="2:8" ht="19.5" customHeight="1" x14ac:dyDescent="0.2">
      <c r="B11" s="8">
        <f t="shared" si="0"/>
        <v>6</v>
      </c>
      <c r="C11" s="13">
        <f t="shared" si="1"/>
        <v>46235</v>
      </c>
      <c r="D11" s="3" t="s">
        <v>26</v>
      </c>
      <c r="E11" s="14">
        <v>0</v>
      </c>
      <c r="F11" s="15">
        <f t="shared" si="3"/>
        <v>305258.95497612032</v>
      </c>
      <c r="G11" s="15">
        <f>F11*Painel!$D$6</f>
        <v>3052.5895497612032</v>
      </c>
      <c r="H11" s="12">
        <f t="shared" si="2"/>
        <v>308311.54452588153</v>
      </c>
    </row>
    <row r="12" spans="2:8" ht="19.5" customHeight="1" x14ac:dyDescent="0.2">
      <c r="B12" s="8">
        <f t="shared" si="0"/>
        <v>7</v>
      </c>
      <c r="C12" s="13">
        <f t="shared" si="1"/>
        <v>46266</v>
      </c>
      <c r="D12" s="3" t="s">
        <v>26</v>
      </c>
      <c r="E12" s="14">
        <v>0</v>
      </c>
      <c r="F12" s="15">
        <f t="shared" si="3"/>
        <v>308311.54452588153</v>
      </c>
      <c r="G12" s="15">
        <f>F12*Painel!$D$6</f>
        <v>3083.1154452588153</v>
      </c>
      <c r="H12" s="12">
        <f t="shared" si="2"/>
        <v>311394.65997114033</v>
      </c>
    </row>
    <row r="13" spans="2:8" ht="19.5" customHeight="1" x14ac:dyDescent="0.2">
      <c r="B13" s="8">
        <f t="shared" si="0"/>
        <v>8</v>
      </c>
      <c r="C13" s="13">
        <f t="shared" si="1"/>
        <v>46296</v>
      </c>
      <c r="D13" s="3" t="s">
        <v>26</v>
      </c>
      <c r="E13" s="14">
        <v>0</v>
      </c>
      <c r="F13" s="15">
        <f t="shared" si="3"/>
        <v>311394.65997114033</v>
      </c>
      <c r="G13" s="15">
        <f>F13*Painel!$D$6</f>
        <v>3113.9465997114035</v>
      </c>
      <c r="H13" s="12">
        <f t="shared" si="2"/>
        <v>314508.60657085176</v>
      </c>
    </row>
    <row r="14" spans="2:8" ht="19.5" customHeight="1" x14ac:dyDescent="0.2">
      <c r="B14" s="8">
        <f t="shared" si="0"/>
        <v>9</v>
      </c>
      <c r="C14" s="13">
        <f t="shared" si="1"/>
        <v>46327</v>
      </c>
      <c r="D14" s="3" t="s">
        <v>26</v>
      </c>
      <c r="E14" s="14">
        <v>0</v>
      </c>
      <c r="F14" s="15">
        <f t="shared" si="3"/>
        <v>314508.60657085176</v>
      </c>
      <c r="G14" s="15">
        <f>F14*Painel!$D$6</f>
        <v>3145.0860657085177</v>
      </c>
      <c r="H14" s="12">
        <f t="shared" si="2"/>
        <v>317653.6926365603</v>
      </c>
    </row>
    <row r="15" spans="2:8" ht="19.5" customHeight="1" x14ac:dyDescent="0.2">
      <c r="B15" s="8">
        <f t="shared" si="0"/>
        <v>10</v>
      </c>
      <c r="C15" s="13">
        <f t="shared" si="1"/>
        <v>46357</v>
      </c>
      <c r="D15" s="3" t="s">
        <v>26</v>
      </c>
      <c r="E15" s="14">
        <v>0</v>
      </c>
      <c r="F15" s="15">
        <f t="shared" si="3"/>
        <v>317653.6926365603</v>
      </c>
      <c r="G15" s="15">
        <f>F15*Painel!$D$6</f>
        <v>3176.536926365603</v>
      </c>
      <c r="H15" s="12">
        <f t="shared" si="2"/>
        <v>320830.22956292587</v>
      </c>
    </row>
    <row r="16" spans="2:8" ht="19.5" customHeight="1" x14ac:dyDescent="0.2">
      <c r="B16" s="8">
        <f t="shared" si="0"/>
        <v>11</v>
      </c>
      <c r="C16" s="13">
        <f t="shared" si="1"/>
        <v>46388</v>
      </c>
      <c r="D16" s="3" t="s">
        <v>26</v>
      </c>
      <c r="E16" s="14">
        <v>0</v>
      </c>
      <c r="F16" s="15">
        <f t="shared" si="3"/>
        <v>320830.22956292587</v>
      </c>
      <c r="G16" s="15">
        <f>F16*Painel!$D$6</f>
        <v>3208.3022956292589</v>
      </c>
      <c r="H16" s="12">
        <f t="shared" si="2"/>
        <v>324038.53185855516</v>
      </c>
    </row>
    <row r="17" spans="2:8" ht="19.5" customHeight="1" x14ac:dyDescent="0.2">
      <c r="B17" s="8">
        <f t="shared" si="0"/>
        <v>12</v>
      </c>
      <c r="C17" s="13">
        <f t="shared" si="1"/>
        <v>46419</v>
      </c>
      <c r="D17" s="3" t="s">
        <v>26</v>
      </c>
      <c r="E17" s="14">
        <v>0</v>
      </c>
      <c r="F17" s="15">
        <f t="shared" si="3"/>
        <v>324038.53185855516</v>
      </c>
      <c r="G17" s="15">
        <f>F17*Painel!$D$6</f>
        <v>3240.3853185855514</v>
      </c>
      <c r="H17" s="12">
        <f t="shared" si="2"/>
        <v>327278.91717714071</v>
      </c>
    </row>
    <row r="18" spans="2:8" ht="19.5" customHeight="1" x14ac:dyDescent="0.2">
      <c r="B18" s="8">
        <f t="shared" si="0"/>
        <v>13</v>
      </c>
      <c r="C18" s="13">
        <f t="shared" si="1"/>
        <v>46447</v>
      </c>
      <c r="D18" s="3" t="s">
        <v>26</v>
      </c>
      <c r="E18" s="14">
        <v>0</v>
      </c>
      <c r="F18" s="15">
        <f t="shared" si="3"/>
        <v>327278.91717714071</v>
      </c>
      <c r="G18" s="15">
        <f>F18*Painel!$D$6</f>
        <v>3272.7891717714074</v>
      </c>
      <c r="H18" s="12">
        <f t="shared" si="2"/>
        <v>330551.70634891209</v>
      </c>
    </row>
    <row r="19" spans="2:8" ht="19.5" customHeight="1" x14ac:dyDescent="0.2">
      <c r="B19" s="8">
        <f t="shared" si="0"/>
        <v>14</v>
      </c>
      <c r="C19" s="13">
        <f t="shared" si="1"/>
        <v>46478</v>
      </c>
      <c r="D19" s="3" t="s">
        <v>26</v>
      </c>
      <c r="E19" s="14">
        <v>0</v>
      </c>
      <c r="F19" s="15">
        <f t="shared" si="3"/>
        <v>330551.70634891209</v>
      </c>
      <c r="G19" s="15">
        <f>F19*Painel!$D$6</f>
        <v>3305.517063489121</v>
      </c>
      <c r="H19" s="12">
        <f t="shared" si="2"/>
        <v>333857.22341240122</v>
      </c>
    </row>
    <row r="20" spans="2:8" ht="19.5" customHeight="1" x14ac:dyDescent="0.2">
      <c r="B20" s="8">
        <f t="shared" si="0"/>
        <v>15</v>
      </c>
      <c r="C20" s="13">
        <f t="shared" si="1"/>
        <v>46508</v>
      </c>
      <c r="D20" s="3" t="s">
        <v>26</v>
      </c>
      <c r="E20" s="14">
        <v>0</v>
      </c>
      <c r="F20" s="15">
        <f t="shared" si="3"/>
        <v>333857.22341240122</v>
      </c>
      <c r="G20" s="15">
        <f>F20*Painel!$D$6</f>
        <v>3338.5722341240121</v>
      </c>
      <c r="H20" s="12">
        <f t="shared" si="2"/>
        <v>337195.79564652522</v>
      </c>
    </row>
    <row r="21" spans="2:8" ht="19.5" customHeight="1" x14ac:dyDescent="0.2">
      <c r="B21" s="8">
        <f t="shared" si="0"/>
        <v>16</v>
      </c>
      <c r="C21" s="13">
        <f t="shared" si="1"/>
        <v>46539</v>
      </c>
      <c r="D21" s="3" t="s">
        <v>26</v>
      </c>
      <c r="E21" s="14">
        <v>0</v>
      </c>
      <c r="F21" s="15">
        <f t="shared" si="3"/>
        <v>337195.79564652522</v>
      </c>
      <c r="G21" s="15">
        <f>F21*Painel!$D$6</f>
        <v>3371.9579564652522</v>
      </c>
      <c r="H21" s="12">
        <f t="shared" si="2"/>
        <v>340567.75360299047</v>
      </c>
    </row>
    <row r="22" spans="2:8" ht="19.5" customHeight="1" x14ac:dyDescent="0.2">
      <c r="B22" s="8">
        <f t="shared" si="0"/>
        <v>17</v>
      </c>
      <c r="C22" s="13">
        <f t="shared" si="1"/>
        <v>46569</v>
      </c>
      <c r="D22" s="3" t="s">
        <v>26</v>
      </c>
      <c r="E22" s="14">
        <v>0</v>
      </c>
      <c r="F22" s="15">
        <f t="shared" si="3"/>
        <v>340567.75360299047</v>
      </c>
      <c r="G22" s="15">
        <f>F22*Painel!$D$6</f>
        <v>3405.6775360299048</v>
      </c>
      <c r="H22" s="12">
        <f t="shared" si="2"/>
        <v>343973.43113902037</v>
      </c>
    </row>
    <row r="23" spans="2:8" ht="19.5" customHeight="1" x14ac:dyDescent="0.2">
      <c r="B23" s="8">
        <f t="shared" si="0"/>
        <v>18</v>
      </c>
      <c r="C23" s="13">
        <f t="shared" si="1"/>
        <v>46600</v>
      </c>
      <c r="D23" s="3" t="s">
        <v>26</v>
      </c>
      <c r="E23" s="14">
        <v>0</v>
      </c>
      <c r="F23" s="15">
        <f t="shared" si="3"/>
        <v>343973.43113902037</v>
      </c>
      <c r="G23" s="15">
        <f>F23*Painel!$D$6</f>
        <v>3439.7343113902039</v>
      </c>
      <c r="H23" s="12">
        <f t="shared" si="2"/>
        <v>347413.16545041057</v>
      </c>
    </row>
    <row r="24" spans="2:8" ht="19.5" customHeight="1" x14ac:dyDescent="0.2">
      <c r="B24" s="8">
        <f t="shared" si="0"/>
        <v>19</v>
      </c>
      <c r="C24" s="13">
        <f t="shared" si="1"/>
        <v>46631</v>
      </c>
      <c r="D24" s="3" t="s">
        <v>26</v>
      </c>
      <c r="E24" s="14">
        <v>0</v>
      </c>
      <c r="F24" s="15">
        <f t="shared" si="3"/>
        <v>347413.16545041057</v>
      </c>
      <c r="G24" s="15">
        <f>F24*Painel!$D$6</f>
        <v>3474.1316545041059</v>
      </c>
      <c r="H24" s="12">
        <f t="shared" si="2"/>
        <v>350887.29710491467</v>
      </c>
    </row>
    <row r="25" spans="2:8" ht="19.5" customHeight="1" x14ac:dyDescent="0.2">
      <c r="B25" s="8">
        <f t="shared" si="0"/>
        <v>20</v>
      </c>
      <c r="C25" s="13">
        <f t="shared" si="1"/>
        <v>46661</v>
      </c>
      <c r="D25" s="3" t="s">
        <v>26</v>
      </c>
      <c r="E25" s="14">
        <v>0</v>
      </c>
      <c r="F25" s="15">
        <f t="shared" si="3"/>
        <v>350887.29710491467</v>
      </c>
      <c r="G25" s="15">
        <f>F25*Painel!$D$6</f>
        <v>3508.8729710491466</v>
      </c>
      <c r="H25" s="12">
        <f t="shared" si="2"/>
        <v>354396.17007596383</v>
      </c>
    </row>
    <row r="26" spans="2:8" ht="19.5" customHeight="1" x14ac:dyDescent="0.2">
      <c r="B26" s="8">
        <f t="shared" si="0"/>
        <v>21</v>
      </c>
      <c r="C26" s="13">
        <f t="shared" si="1"/>
        <v>46692</v>
      </c>
      <c r="D26" s="3" t="s">
        <v>26</v>
      </c>
      <c r="E26" s="14">
        <v>0</v>
      </c>
      <c r="F26" s="15">
        <f t="shared" si="3"/>
        <v>354396.17007596383</v>
      </c>
      <c r="G26" s="15">
        <f>F26*Painel!$D$6</f>
        <v>3543.9617007596385</v>
      </c>
      <c r="H26" s="12">
        <f t="shared" si="2"/>
        <v>357940.13177672349</v>
      </c>
    </row>
    <row r="27" spans="2:8" ht="19.5" customHeight="1" x14ac:dyDescent="0.2">
      <c r="B27" s="8">
        <f t="shared" si="0"/>
        <v>22</v>
      </c>
      <c r="C27" s="13">
        <f t="shared" si="1"/>
        <v>46722</v>
      </c>
      <c r="D27" s="3" t="s">
        <v>26</v>
      </c>
      <c r="E27" s="14">
        <v>0</v>
      </c>
      <c r="F27" s="15">
        <f t="shared" si="3"/>
        <v>357940.13177672349</v>
      </c>
      <c r="G27" s="15">
        <f>F27*Painel!$D$6</f>
        <v>3579.401317767235</v>
      </c>
      <c r="H27" s="12">
        <f t="shared" si="2"/>
        <v>361519.5330944907</v>
      </c>
    </row>
    <row r="28" spans="2:8" ht="19.5" customHeight="1" x14ac:dyDescent="0.2">
      <c r="B28" s="8">
        <f t="shared" si="0"/>
        <v>23</v>
      </c>
      <c r="C28" s="13">
        <f t="shared" si="1"/>
        <v>46753</v>
      </c>
      <c r="D28" s="3" t="s">
        <v>26</v>
      </c>
      <c r="E28" s="14">
        <v>0</v>
      </c>
      <c r="F28" s="15">
        <f t="shared" si="3"/>
        <v>361519.5330944907</v>
      </c>
      <c r="G28" s="15">
        <f>F28*Painel!$D$6</f>
        <v>3615.1953309449073</v>
      </c>
      <c r="H28" s="12">
        <f t="shared" si="2"/>
        <v>365134.72842543561</v>
      </c>
    </row>
    <row r="29" spans="2:8" ht="19.5" customHeight="1" x14ac:dyDescent="0.2">
      <c r="B29" s="8">
        <f t="shared" si="0"/>
        <v>24</v>
      </c>
      <c r="C29" s="13">
        <f t="shared" si="1"/>
        <v>46784</v>
      </c>
      <c r="D29" s="3" t="s">
        <v>26</v>
      </c>
      <c r="E29" s="14">
        <v>0</v>
      </c>
      <c r="F29" s="15">
        <f t="shared" si="3"/>
        <v>365134.72842543561</v>
      </c>
      <c r="G29" s="15">
        <f>F29*Painel!$D$6</f>
        <v>3651.3472842543561</v>
      </c>
      <c r="H29" s="12">
        <f t="shared" si="2"/>
        <v>368786.07570968999</v>
      </c>
    </row>
    <row r="30" spans="2:8" ht="21.75" customHeight="1" x14ac:dyDescent="0.2">
      <c r="B30" s="20" t="s">
        <v>27</v>
      </c>
      <c r="C30" s="20"/>
      <c r="D30" s="20"/>
      <c r="E30" s="16">
        <f>SUMIF(D6:D29,"Aporte",E6:E29)</f>
        <v>133695.5</v>
      </c>
      <c r="F30" s="17">
        <f>SUMIF(D6:D29,"Retirada",E6:E29)</f>
        <v>0</v>
      </c>
      <c r="G30" s="12">
        <f>SUM(G6:G29)</f>
        <v>75317.815709689909</v>
      </c>
      <c r="H30" s="12">
        <f>G29</f>
        <v>3651.3472842543561</v>
      </c>
    </row>
    <row r="32" spans="2:8" ht="30" customHeight="1" x14ac:dyDescent="0.2">
      <c r="B32" s="21" t="s">
        <v>28</v>
      </c>
      <c r="C32" s="21"/>
      <c r="D32" s="21"/>
      <c r="E32" s="21"/>
      <c r="F32" s="21"/>
      <c r="G32" s="21"/>
      <c r="H32" s="21"/>
    </row>
  </sheetData>
  <mergeCells count="3">
    <mergeCell ref="B2:G2"/>
    <mergeCell ref="B30:D30"/>
    <mergeCell ref="B32:H32"/>
  </mergeCells>
  <dataValidations count="1">
    <dataValidation type="list" sqref="D6:D29" xr:uid="{00000000-0002-0000-0100-000000000000}">
      <formula1>"Nenhum,Aporte,Retirada"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9"/>
  <sheetViews>
    <sheetView showGridLines="0" zoomScale="125" zoomScaleNormal="100" workbookViewId="0">
      <selection activeCell="D6" sqref="D6"/>
    </sheetView>
  </sheetViews>
  <sheetFormatPr baseColWidth="10" defaultColWidth="8.6640625" defaultRowHeight="15" x14ac:dyDescent="0.2"/>
  <cols>
    <col min="1" max="1" width="6" customWidth="1"/>
    <col min="2" max="2" width="16" customWidth="1"/>
    <col min="3" max="5" width="22" customWidth="1"/>
    <col min="6" max="6" width="6" customWidth="1"/>
  </cols>
  <sheetData>
    <row r="1" spans="2:5" ht="7.5" customHeight="1" x14ac:dyDescent="0.2"/>
    <row r="2" spans="2:5" ht="31.5" customHeight="1" x14ac:dyDescent="0.2">
      <c r="B2" s="19" t="s">
        <v>29</v>
      </c>
      <c r="C2" s="19"/>
      <c r="D2" s="19"/>
      <c r="E2" s="19"/>
    </row>
    <row r="3" spans="2:5" ht="7.5" customHeight="1" x14ac:dyDescent="0.2"/>
    <row r="4" spans="2:5" ht="21.75" customHeight="1" x14ac:dyDescent="0.2">
      <c r="B4" s="7" t="s">
        <v>30</v>
      </c>
      <c r="C4" s="7" t="s">
        <v>25</v>
      </c>
      <c r="D4" s="7" t="s">
        <v>31</v>
      </c>
      <c r="E4" s="7" t="s">
        <v>24</v>
      </c>
    </row>
    <row r="5" spans="2:5" ht="15" customHeight="1" x14ac:dyDescent="0.2">
      <c r="B5" s="13">
        <f>Movimentações!C5</f>
        <v>46054</v>
      </c>
      <c r="C5" s="11">
        <v>0</v>
      </c>
      <c r="D5" s="11">
        <v>0</v>
      </c>
      <c r="E5" s="12">
        <f>Movimentações!H5</f>
        <v>159772.76</v>
      </c>
    </row>
    <row r="6" spans="2:5" ht="19.5" customHeight="1" x14ac:dyDescent="0.2">
      <c r="B6" s="13">
        <f>Movimentações!C6</f>
        <v>46082</v>
      </c>
      <c r="C6" s="11">
        <f>Movimentações!F6</f>
        <v>159772.76</v>
      </c>
      <c r="D6" s="15">
        <f>Movimentações!G6</f>
        <v>1597.7276000000002</v>
      </c>
      <c r="E6" s="12">
        <f>Movimentações!H6</f>
        <v>203560.98760000002</v>
      </c>
    </row>
    <row r="7" spans="2:5" ht="19.5" customHeight="1" x14ac:dyDescent="0.2">
      <c r="B7" s="13">
        <f>Movimentações!C7</f>
        <v>46113</v>
      </c>
      <c r="C7" s="11">
        <f>Movimentações!F7</f>
        <v>203560.98760000002</v>
      </c>
      <c r="D7" s="15">
        <f>Movimentações!G7</f>
        <v>2035.6098760000002</v>
      </c>
      <c r="E7" s="12">
        <f>Movimentações!H7</f>
        <v>240596.59747600002</v>
      </c>
    </row>
    <row r="8" spans="2:5" ht="19.5" customHeight="1" x14ac:dyDescent="0.2">
      <c r="B8" s="13">
        <f>Movimentações!C8</f>
        <v>46143</v>
      </c>
      <c r="C8" s="11">
        <f>Movimentações!F8</f>
        <v>240596.59747600002</v>
      </c>
      <c r="D8" s="15">
        <f>Movimentações!G8</f>
        <v>2405.9659747600003</v>
      </c>
      <c r="E8" s="12">
        <f>Movimentações!H8</f>
        <v>272902.56345076003</v>
      </c>
    </row>
    <row r="9" spans="2:5" ht="19.5" customHeight="1" x14ac:dyDescent="0.2">
      <c r="B9" s="13">
        <f>Movimentações!C9</f>
        <v>46174</v>
      </c>
      <c r="C9" s="11">
        <f>Movimentações!F9</f>
        <v>272902.56345076003</v>
      </c>
      <c r="D9" s="15">
        <f>Movimentações!G9</f>
        <v>2729.0256345076004</v>
      </c>
      <c r="E9" s="12">
        <f>Movimentações!H9</f>
        <v>302236.58908526762</v>
      </c>
    </row>
    <row r="10" spans="2:5" ht="19.5" customHeight="1" x14ac:dyDescent="0.2">
      <c r="B10" s="13">
        <f>Movimentações!C10</f>
        <v>46204</v>
      </c>
      <c r="C10" s="11">
        <f>Movimentações!F10</f>
        <v>302236.58908526762</v>
      </c>
      <c r="D10" s="15">
        <f>Movimentações!G10</f>
        <v>3022.3658908526763</v>
      </c>
      <c r="E10" s="12">
        <f>Movimentações!H10</f>
        <v>305258.95497612032</v>
      </c>
    </row>
    <row r="11" spans="2:5" ht="19.5" customHeight="1" x14ac:dyDescent="0.2">
      <c r="B11" s="13">
        <f>Movimentações!C11</f>
        <v>46235</v>
      </c>
      <c r="C11" s="11">
        <f>Movimentações!F11</f>
        <v>305258.95497612032</v>
      </c>
      <c r="D11" s="15">
        <f>Movimentações!G11</f>
        <v>3052.5895497612032</v>
      </c>
      <c r="E11" s="12">
        <f>Movimentações!H11</f>
        <v>308311.54452588153</v>
      </c>
    </row>
    <row r="12" spans="2:5" ht="19.5" customHeight="1" x14ac:dyDescent="0.2">
      <c r="B12" s="13">
        <f>Movimentações!C12</f>
        <v>46266</v>
      </c>
      <c r="C12" s="11">
        <f>Movimentações!F12</f>
        <v>308311.54452588153</v>
      </c>
      <c r="D12" s="15">
        <f>Movimentações!G12</f>
        <v>3083.1154452588153</v>
      </c>
      <c r="E12" s="12">
        <f>Movimentações!H12</f>
        <v>311394.65997114033</v>
      </c>
    </row>
    <row r="13" spans="2:5" ht="19.5" customHeight="1" x14ac:dyDescent="0.2">
      <c r="B13" s="13">
        <f>Movimentações!C13</f>
        <v>46296</v>
      </c>
      <c r="C13" s="11">
        <f>Movimentações!F13</f>
        <v>311394.65997114033</v>
      </c>
      <c r="D13" s="15">
        <f>Movimentações!G13</f>
        <v>3113.9465997114035</v>
      </c>
      <c r="E13" s="12">
        <f>Movimentações!H13</f>
        <v>314508.60657085176</v>
      </c>
    </row>
    <row r="14" spans="2:5" ht="19.5" customHeight="1" x14ac:dyDescent="0.2">
      <c r="B14" s="13">
        <f>Movimentações!C14</f>
        <v>46327</v>
      </c>
      <c r="C14" s="11">
        <f>Movimentações!F14</f>
        <v>314508.60657085176</v>
      </c>
      <c r="D14" s="15">
        <f>Movimentações!G14</f>
        <v>3145.0860657085177</v>
      </c>
      <c r="E14" s="12">
        <f>Movimentações!H14</f>
        <v>317653.6926365603</v>
      </c>
    </row>
    <row r="15" spans="2:5" ht="19.5" customHeight="1" x14ac:dyDescent="0.2">
      <c r="B15" s="13">
        <f>Movimentações!C15</f>
        <v>46357</v>
      </c>
      <c r="C15" s="11">
        <f>Movimentações!F15</f>
        <v>317653.6926365603</v>
      </c>
      <c r="D15" s="15">
        <f>Movimentações!G15</f>
        <v>3176.536926365603</v>
      </c>
      <c r="E15" s="12">
        <f>Movimentações!H15</f>
        <v>320830.22956292587</v>
      </c>
    </row>
    <row r="16" spans="2:5" ht="19.5" customHeight="1" x14ac:dyDescent="0.2">
      <c r="B16" s="13">
        <f>Movimentações!C16</f>
        <v>46388</v>
      </c>
      <c r="C16" s="11">
        <f>Movimentações!F16</f>
        <v>320830.22956292587</v>
      </c>
      <c r="D16" s="15">
        <f>Movimentações!G16</f>
        <v>3208.3022956292589</v>
      </c>
      <c r="E16" s="12">
        <f>Movimentações!H16</f>
        <v>324038.53185855516</v>
      </c>
    </row>
    <row r="17" spans="2:5" ht="19.5" customHeight="1" x14ac:dyDescent="0.2">
      <c r="B17" s="13">
        <f>Movimentações!C17</f>
        <v>46419</v>
      </c>
      <c r="C17" s="11">
        <f>Movimentações!F17</f>
        <v>324038.53185855516</v>
      </c>
      <c r="D17" s="15">
        <f>Movimentações!G17</f>
        <v>3240.3853185855514</v>
      </c>
      <c r="E17" s="12">
        <f>Movimentações!H17</f>
        <v>327278.91717714071</v>
      </c>
    </row>
    <row r="18" spans="2:5" ht="19.5" customHeight="1" x14ac:dyDescent="0.2">
      <c r="B18" s="13">
        <f>Movimentações!C18</f>
        <v>46447</v>
      </c>
      <c r="C18" s="11">
        <f>Movimentações!F18</f>
        <v>327278.91717714071</v>
      </c>
      <c r="D18" s="15">
        <f>Movimentações!G18</f>
        <v>3272.7891717714074</v>
      </c>
      <c r="E18" s="12">
        <f>Movimentações!H18</f>
        <v>330551.70634891209</v>
      </c>
    </row>
    <row r="19" spans="2:5" ht="19.5" customHeight="1" x14ac:dyDescent="0.2">
      <c r="B19" s="13">
        <f>Movimentações!C19</f>
        <v>46478</v>
      </c>
      <c r="C19" s="11">
        <f>Movimentações!F19</f>
        <v>330551.70634891209</v>
      </c>
      <c r="D19" s="15">
        <f>Movimentações!G19</f>
        <v>3305.517063489121</v>
      </c>
      <c r="E19" s="12">
        <f>Movimentações!H19</f>
        <v>333857.22341240122</v>
      </c>
    </row>
    <row r="20" spans="2:5" ht="19.5" customHeight="1" x14ac:dyDescent="0.2">
      <c r="B20" s="13">
        <f>Movimentações!C20</f>
        <v>46508</v>
      </c>
      <c r="C20" s="11">
        <f>Movimentações!F20</f>
        <v>333857.22341240122</v>
      </c>
      <c r="D20" s="15">
        <f>Movimentações!G20</f>
        <v>3338.5722341240121</v>
      </c>
      <c r="E20" s="12">
        <f>Movimentações!H20</f>
        <v>337195.79564652522</v>
      </c>
    </row>
    <row r="21" spans="2:5" ht="19.5" customHeight="1" x14ac:dyDescent="0.2">
      <c r="B21" s="13">
        <f>Movimentações!C21</f>
        <v>46539</v>
      </c>
      <c r="C21" s="11">
        <f>Movimentações!F21</f>
        <v>337195.79564652522</v>
      </c>
      <c r="D21" s="15">
        <f>Movimentações!G21</f>
        <v>3371.9579564652522</v>
      </c>
      <c r="E21" s="12">
        <f>Movimentações!H21</f>
        <v>340567.75360299047</v>
      </c>
    </row>
    <row r="22" spans="2:5" ht="19.5" customHeight="1" x14ac:dyDescent="0.2">
      <c r="B22" s="13">
        <f>Movimentações!C22</f>
        <v>46569</v>
      </c>
      <c r="C22" s="11">
        <f>Movimentações!F22</f>
        <v>340567.75360299047</v>
      </c>
      <c r="D22" s="15">
        <f>Movimentações!G22</f>
        <v>3405.6775360299048</v>
      </c>
      <c r="E22" s="12">
        <f>Movimentações!H22</f>
        <v>343973.43113902037</v>
      </c>
    </row>
    <row r="23" spans="2:5" ht="19.5" customHeight="1" x14ac:dyDescent="0.2">
      <c r="B23" s="13">
        <f>Movimentações!C23</f>
        <v>46600</v>
      </c>
      <c r="C23" s="11">
        <f>Movimentações!F23</f>
        <v>343973.43113902037</v>
      </c>
      <c r="D23" s="15">
        <f>Movimentações!G23</f>
        <v>3439.7343113902039</v>
      </c>
      <c r="E23" s="12">
        <f>Movimentações!H23</f>
        <v>347413.16545041057</v>
      </c>
    </row>
    <row r="24" spans="2:5" ht="19.5" customHeight="1" x14ac:dyDescent="0.2">
      <c r="B24" s="13">
        <f>Movimentações!C24</f>
        <v>46631</v>
      </c>
      <c r="C24" s="11">
        <f>Movimentações!F24</f>
        <v>347413.16545041057</v>
      </c>
      <c r="D24" s="15">
        <f>Movimentações!G24</f>
        <v>3474.1316545041059</v>
      </c>
      <c r="E24" s="12">
        <f>Movimentações!H24</f>
        <v>350887.29710491467</v>
      </c>
    </row>
    <row r="25" spans="2:5" ht="19.5" customHeight="1" x14ac:dyDescent="0.2">
      <c r="B25" s="13">
        <f>Movimentações!C25</f>
        <v>46661</v>
      </c>
      <c r="C25" s="11">
        <f>Movimentações!F25</f>
        <v>350887.29710491467</v>
      </c>
      <c r="D25" s="15">
        <f>Movimentações!G25</f>
        <v>3508.8729710491466</v>
      </c>
      <c r="E25" s="12">
        <f>Movimentações!H25</f>
        <v>354396.17007596383</v>
      </c>
    </row>
    <row r="26" spans="2:5" ht="19.5" customHeight="1" x14ac:dyDescent="0.2">
      <c r="B26" s="13">
        <f>Movimentações!C26</f>
        <v>46692</v>
      </c>
      <c r="C26" s="11">
        <f>Movimentações!F26</f>
        <v>354396.17007596383</v>
      </c>
      <c r="D26" s="15">
        <f>Movimentações!G26</f>
        <v>3543.9617007596385</v>
      </c>
      <c r="E26" s="12">
        <f>Movimentações!H26</f>
        <v>357940.13177672349</v>
      </c>
    </row>
    <row r="27" spans="2:5" ht="19.5" customHeight="1" x14ac:dyDescent="0.2">
      <c r="B27" s="13">
        <f>Movimentações!C27</f>
        <v>46722</v>
      </c>
      <c r="C27" s="11">
        <f>Movimentações!F27</f>
        <v>357940.13177672349</v>
      </c>
      <c r="D27" s="15">
        <f>Movimentações!G27</f>
        <v>3579.401317767235</v>
      </c>
      <c r="E27" s="12">
        <f>Movimentações!H27</f>
        <v>361519.5330944907</v>
      </c>
    </row>
    <row r="28" spans="2:5" ht="19.5" customHeight="1" x14ac:dyDescent="0.2">
      <c r="B28" s="13">
        <f>Movimentações!C28</f>
        <v>46753</v>
      </c>
      <c r="C28" s="11">
        <f>Movimentações!F28</f>
        <v>361519.5330944907</v>
      </c>
      <c r="D28" s="15">
        <f>Movimentações!G28</f>
        <v>3615.1953309449073</v>
      </c>
      <c r="E28" s="12">
        <f>Movimentações!H28</f>
        <v>365134.72842543561</v>
      </c>
    </row>
    <row r="29" spans="2:5" ht="19.5" customHeight="1" x14ac:dyDescent="0.2">
      <c r="B29" s="13">
        <f>Movimentações!C29</f>
        <v>46784</v>
      </c>
      <c r="C29" s="11">
        <f>Movimentações!F29</f>
        <v>365134.72842543561</v>
      </c>
      <c r="D29" s="15">
        <f>Movimentações!G29</f>
        <v>3651.3472842543561</v>
      </c>
      <c r="E29" s="12">
        <f>Movimentações!H29</f>
        <v>368786.07570968999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</vt:lpstr>
      <vt:lpstr>Movimentações</vt:lpstr>
      <vt:lpstr>Evolução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Sahão Turquino</cp:lastModifiedBy>
  <cp:revision>2</cp:revision>
  <dcterms:created xsi:type="dcterms:W3CDTF">2026-03-10T19:28:20Z</dcterms:created>
  <dcterms:modified xsi:type="dcterms:W3CDTF">2026-06-16T16:28:34Z</dcterms:modified>
  <dc:language>en-US</dc:language>
</cp:coreProperties>
</file>