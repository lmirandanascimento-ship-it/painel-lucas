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turquino/Library/CloudStorage/Dropbox/INVESTIMENTOS/"/>
    </mc:Choice>
  </mc:AlternateContent>
  <xr:revisionPtr revIDLastSave="0" documentId="13_ncr:1_{3A336819-3DC6-DE48-957D-05A1ED65FA3C}" xr6:coauthVersionLast="47" xr6:coauthVersionMax="47" xr10:uidLastSave="{00000000-0000-0000-0000-000000000000}"/>
  <bookViews>
    <workbookView xWindow="0" yWindow="680" windowWidth="34200" windowHeight="19640" xr2:uid="{7AE66A58-83B6-7448-AEFE-638CF76377F2}"/>
  </bookViews>
  <sheets>
    <sheet name="CC Sr. Carmino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5" i="1" l="1"/>
  <c r="B93" i="1"/>
  <c r="B91" i="1"/>
  <c r="D89" i="1"/>
  <c r="B88" i="1"/>
  <c r="D88" i="1"/>
  <c r="D87" i="1"/>
  <c r="D86" i="1"/>
  <c r="B87" i="1"/>
  <c r="B86" i="1"/>
  <c r="D85" i="1"/>
  <c r="D84" i="1"/>
  <c r="B85" i="1"/>
  <c r="B84" i="1"/>
  <c r="D83" i="1"/>
  <c r="D81" i="1"/>
  <c r="D82" i="1" s="1"/>
  <c r="D76" i="1"/>
  <c r="D77" i="1" s="1"/>
  <c r="D78" i="1" s="1"/>
  <c r="D79" i="1" s="1"/>
  <c r="D80" i="1" s="1"/>
  <c r="D73" i="1"/>
  <c r="D74" i="1" s="1"/>
  <c r="D75" i="1" s="1"/>
  <c r="B41" i="1"/>
  <c r="B15" i="1"/>
  <c r="D10" i="1"/>
  <c r="D11" i="1" s="1"/>
  <c r="D15" i="1" s="1"/>
  <c r="D8" i="1"/>
  <c r="D9" i="1" s="1"/>
  <c r="D3" i="1"/>
  <c r="D90" i="1" l="1"/>
  <c r="D91" i="1" s="1"/>
  <c r="B90" i="1"/>
  <c r="B16" i="1"/>
  <c r="B17" i="1" s="1"/>
  <c r="D17" i="1"/>
  <c r="B12" i="1"/>
  <c r="D92" i="1" l="1"/>
  <c r="D93" i="1" s="1"/>
  <c r="B92" i="1"/>
  <c r="B18" i="1"/>
  <c r="D19" i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94" i="1" l="1"/>
  <c r="D95" i="1" s="1"/>
  <c r="B94" i="1"/>
  <c r="B46" i="1"/>
  <c r="B45" i="1" s="1"/>
  <c r="D45" i="1" s="1"/>
  <c r="D46" i="1" s="1"/>
  <c r="D47" i="1" s="1"/>
  <c r="D96" i="1" l="1"/>
  <c r="D97" i="1" s="1"/>
  <c r="B96" i="1"/>
  <c r="D48" i="1"/>
  <c r="B48" i="1"/>
  <c r="D98" i="1" l="1"/>
  <c r="D99" i="1" s="1"/>
  <c r="B98" i="1"/>
  <c r="B50" i="1"/>
  <c r="D49" i="1"/>
  <c r="D50" i="1" s="1"/>
  <c r="D100" i="1" l="1"/>
  <c r="D101" i="1" s="1"/>
  <c r="B100" i="1"/>
  <c r="B52" i="1"/>
  <c r="B54" i="1" s="1"/>
  <c r="B56" i="1" s="1"/>
  <c r="B58" i="1" s="1"/>
  <c r="B60" i="1" s="1"/>
  <c r="B62" i="1" s="1"/>
  <c r="B64" i="1" s="1"/>
  <c r="B66" i="1" s="1"/>
  <c r="B68" i="1" s="1"/>
  <c r="B70" i="1" s="1"/>
  <c r="D51" i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102" i="1" l="1"/>
  <c r="D103" i="1" s="1"/>
  <c r="B102" i="1"/>
  <c r="D104" i="1" l="1"/>
  <c r="D105" i="1" s="1"/>
  <c r="B104" i="1"/>
  <c r="D106" i="1" l="1"/>
  <c r="D107" i="1" s="1"/>
  <c r="B106" i="1"/>
</calcChain>
</file>

<file path=xl/sharedStrings.xml><?xml version="1.0" encoding="utf-8"?>
<sst xmlns="http://schemas.openxmlformats.org/spreadsheetml/2006/main" count="111" uniqueCount="23">
  <si>
    <t>Conta Corrente</t>
  </si>
  <si>
    <t>Valor</t>
  </si>
  <si>
    <t>Data</t>
  </si>
  <si>
    <t>Saldo</t>
  </si>
  <si>
    <t>Atualização</t>
  </si>
  <si>
    <t>Juros 0,6% a.m.</t>
  </si>
  <si>
    <t>Entrada ap. 3x no Cartão XP</t>
  </si>
  <si>
    <t>Comissão Jessy</t>
  </si>
  <si>
    <t>Comissão Amanda</t>
  </si>
  <si>
    <t>Devolução Comissão</t>
  </si>
  <si>
    <t>Boleto</t>
  </si>
  <si>
    <t>Juros</t>
  </si>
  <si>
    <t>Valor Amarelinho</t>
  </si>
  <si>
    <t>Abatimento</t>
  </si>
  <si>
    <t>Amortização</t>
  </si>
  <si>
    <t>Empréstimo Novo</t>
  </si>
  <si>
    <t>Juros ref. Jul/25</t>
  </si>
  <si>
    <t>Juros ref. Ago/25</t>
  </si>
  <si>
    <t>Juros ref. Set/25</t>
  </si>
  <si>
    <t>Juros ref. Out/25</t>
  </si>
  <si>
    <t>Juros ref. Nov/25</t>
  </si>
  <si>
    <t>Juros ref. Dez/25</t>
  </si>
  <si>
    <t>Juros ref. Jan/25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</si>
</sst>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[$-F800]dddd\,\ mmmm\ dd\,\ yyyy"/>
    <numFmt numFmtId="165" formatCode="&quot;R$&quot;\ #,##0.0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8" fontId="3" fillId="0" borderId="0" xfId="0" applyNumberFormat="1" applyFont="1"/>
    <xf numFmtId="164" fontId="2" fillId="0" borderId="0" xfId="0" applyNumberFormat="1" applyFont="1"/>
    <xf numFmtId="8" fontId="4" fillId="0" borderId="0" xfId="0" applyNumberFormat="1" applyFont="1"/>
    <xf numFmtId="164" fontId="0" fillId="0" borderId="0" xfId="0" applyNumberFormat="1"/>
    <xf numFmtId="0" fontId="5" fillId="0" borderId="0" xfId="0" applyFont="1" applyAlignment="1">
      <alignment horizontal="center"/>
    </xf>
    <xf numFmtId="165" fontId="0" fillId="0" borderId="0" xfId="0" applyNumberFormat="1"/>
    <xf numFmtId="165" fontId="2" fillId="0" borderId="0" xfId="0" applyNumberFormat="1" applyFont="1"/>
    <xf numFmtId="164" fontId="0" fillId="2" borderId="0" xfId="0" applyNumberFormat="1" applyFill="1"/>
    <xf numFmtId="8" fontId="0" fillId="0" borderId="0" xfId="0" applyNumberFormat="1"/>
    <xf numFmtId="164" fontId="0" fillId="0" borderId="0" xfId="0" quotePrefix="1" applyNumberFormat="1"/>
    <xf numFmtId="44" fontId="0" fillId="0" borderId="0" xfId="1" applyFont="1"/>
    <xf numFmtId="8" fontId="4" fillId="3" borderId="0" xfId="0" applyNumberFormat="1" applyFont="1" applyFill="1"/>
    <xf numFmtId="0" fontId="0" fillId="4" borderId="0" xfId="0" applyFill="1"/>
    <xf numFmtId="8" fontId="4" fillId="4" borderId="0" xfId="0" applyNumberFormat="1" applyFont="1" applyFill="1"/>
    <xf numFmtId="164" fontId="0" fillId="4" borderId="0" xfId="0" applyNumberFormat="1" applyFill="1"/>
    <xf numFmtId="8" fontId="0" fillId="4" borderId="0" xfId="0" applyNumberFormat="1" applyFill="1"/>
    <xf numFmtId="0" fontId="0" fillId="0" borderId="0" xfId="0" applyFill="1"/>
    <xf numFmtId="8" fontId="4" fillId="0" borderId="0" xfId="0" applyNumberFormat="1" applyFont="1" applyFill="1"/>
    <xf numFmtId="164" fontId="0" fillId="0" borderId="0" xfId="0" applyNumberFormat="1" applyFill="1"/>
    <xf numFmtId="8" fontId="0" fillId="0" borderId="0" xfId="0" applyNumberForma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F7A3-ADFE-9446-9F7D-E774F30ECD5F}">
  <dimension ref="A1:F114"/>
  <sheetViews>
    <sheetView tabSelected="1" topLeftCell="A79" zoomScale="111" workbookViewId="0">
      <selection activeCell="B96" sqref="B96"/>
    </sheetView>
  </sheetViews>
  <sheetFormatPr baseColWidth="10" defaultColWidth="11" defaultRowHeight="16" x14ac:dyDescent="0.2"/>
  <cols>
    <col min="1" max="1" width="43.5" customWidth="1"/>
    <col min="2" max="2" width="22.1640625" style="4" customWidth="1"/>
    <col min="3" max="3" width="34.1640625" style="5" customWidth="1"/>
    <col min="4" max="4" width="21.6640625" customWidth="1"/>
    <col min="5" max="5" width="32.1640625" customWidth="1"/>
    <col min="6" max="6" width="21.6640625" customWidth="1"/>
  </cols>
  <sheetData>
    <row r="1" spans="1:6" x14ac:dyDescent="0.2">
      <c r="A1" s="1" t="s">
        <v>0</v>
      </c>
      <c r="B1" s="2" t="s">
        <v>1</v>
      </c>
      <c r="C1" s="3" t="s">
        <v>2</v>
      </c>
      <c r="D1" s="1" t="s">
        <v>3</v>
      </c>
      <c r="E1" t="s">
        <v>4</v>
      </c>
    </row>
    <row r="2" spans="1:6" x14ac:dyDescent="0.2">
      <c r="E2" s="6" t="s">
        <v>5</v>
      </c>
    </row>
    <row r="3" spans="1:6" x14ac:dyDescent="0.2">
      <c r="A3" t="s">
        <v>6</v>
      </c>
      <c r="B3" s="4">
        <v>10000</v>
      </c>
      <c r="C3" s="5">
        <v>44823</v>
      </c>
      <c r="D3" s="7">
        <f>B3</f>
        <v>10000</v>
      </c>
      <c r="E3" s="5"/>
    </row>
    <row r="4" spans="1:6" x14ac:dyDescent="0.2">
      <c r="A4" t="s">
        <v>7</v>
      </c>
      <c r="B4" s="4">
        <v>13808.53</v>
      </c>
      <c r="C4" s="5">
        <v>44824</v>
      </c>
      <c r="E4" s="5"/>
    </row>
    <row r="5" spans="1:6" x14ac:dyDescent="0.2">
      <c r="A5" t="s">
        <v>8</v>
      </c>
      <c r="B5" s="4">
        <v>4802.96</v>
      </c>
      <c r="C5" s="5">
        <v>44824</v>
      </c>
      <c r="E5" s="5"/>
    </row>
    <row r="6" spans="1:6" x14ac:dyDescent="0.2">
      <c r="A6" t="s">
        <v>9</v>
      </c>
      <c r="B6" s="4">
        <v>-1180.94</v>
      </c>
      <c r="C6" s="5">
        <v>44825</v>
      </c>
      <c r="E6" s="5"/>
    </row>
    <row r="7" spans="1:6" x14ac:dyDescent="0.2">
      <c r="A7" t="s">
        <v>9</v>
      </c>
      <c r="B7" s="4">
        <v>-4753.47</v>
      </c>
      <c r="C7" s="5">
        <v>44825</v>
      </c>
      <c r="E7" s="5"/>
    </row>
    <row r="8" spans="1:6" x14ac:dyDescent="0.2">
      <c r="A8" t="s">
        <v>10</v>
      </c>
      <c r="B8" s="4">
        <v>98057.06</v>
      </c>
      <c r="C8" s="5">
        <v>44827</v>
      </c>
      <c r="D8" s="7">
        <f>SUM(B3:B8)</f>
        <v>120734.14</v>
      </c>
      <c r="E8" s="5"/>
      <c r="F8" s="8"/>
    </row>
    <row r="9" spans="1:6" x14ac:dyDescent="0.2">
      <c r="A9" t="s">
        <v>11</v>
      </c>
      <c r="B9" s="4">
        <v>724.4</v>
      </c>
      <c r="C9" s="5">
        <v>44857</v>
      </c>
      <c r="D9" s="7">
        <f>B9+D8</f>
        <v>121458.54</v>
      </c>
      <c r="E9" s="5"/>
      <c r="F9" s="8"/>
    </row>
    <row r="10" spans="1:6" x14ac:dyDescent="0.2">
      <c r="A10" t="s">
        <v>12</v>
      </c>
      <c r="B10" s="4">
        <v>-25000</v>
      </c>
      <c r="D10" s="7">
        <f>SUM(B3:B10)</f>
        <v>96458.54</v>
      </c>
      <c r="E10" s="5"/>
      <c r="F10" s="8"/>
    </row>
    <row r="11" spans="1:6" x14ac:dyDescent="0.2">
      <c r="A11" t="s">
        <v>13</v>
      </c>
      <c r="B11" s="4">
        <v>-10000</v>
      </c>
      <c r="C11" s="5">
        <v>44861</v>
      </c>
      <c r="D11" s="7">
        <f>SUM(D10,B11)</f>
        <v>86458.54</v>
      </c>
      <c r="E11" s="5"/>
    </row>
    <row r="12" spans="1:6" x14ac:dyDescent="0.2">
      <c r="A12" t="s">
        <v>11</v>
      </c>
      <c r="B12" s="4">
        <f>D11*0.6%</f>
        <v>518.75123999999994</v>
      </c>
      <c r="C12" s="5">
        <v>44902</v>
      </c>
      <c r="D12" s="7"/>
      <c r="E12" s="5"/>
    </row>
    <row r="13" spans="1:6" x14ac:dyDescent="0.2">
      <c r="A13" t="s">
        <v>14</v>
      </c>
      <c r="B13" s="4">
        <v>0</v>
      </c>
      <c r="C13" s="9"/>
      <c r="E13" s="5"/>
    </row>
    <row r="14" spans="1:6" x14ac:dyDescent="0.2">
      <c r="A14" t="s">
        <v>11</v>
      </c>
      <c r="B14" s="4">
        <v>518.75</v>
      </c>
      <c r="C14" s="5">
        <v>44931</v>
      </c>
      <c r="D14" s="7"/>
      <c r="E14" s="5"/>
    </row>
    <row r="15" spans="1:6" x14ac:dyDescent="0.2">
      <c r="A15" t="s">
        <v>14</v>
      </c>
      <c r="B15" s="4">
        <f>700-B14</f>
        <v>181.25</v>
      </c>
      <c r="C15" s="5">
        <v>44931</v>
      </c>
      <c r="D15" s="7">
        <f>D11-B15</f>
        <v>86277.29</v>
      </c>
      <c r="E15" s="5"/>
    </row>
    <row r="16" spans="1:6" x14ac:dyDescent="0.2">
      <c r="A16" t="s">
        <v>11</v>
      </c>
      <c r="B16" s="4">
        <f>D15*0.6%</f>
        <v>517.66373999999996</v>
      </c>
      <c r="C16" s="5">
        <v>44964</v>
      </c>
      <c r="D16" s="7"/>
      <c r="E16" s="5"/>
    </row>
    <row r="17" spans="1:6" x14ac:dyDescent="0.2">
      <c r="A17" t="s">
        <v>14</v>
      </c>
      <c r="B17" s="4">
        <f>1000-B16</f>
        <v>482.33626000000004</v>
      </c>
      <c r="C17" s="5">
        <v>44964</v>
      </c>
      <c r="D17" s="10">
        <f>D15-B17</f>
        <v>85794.953739999997</v>
      </c>
      <c r="E17" s="5"/>
    </row>
    <row r="18" spans="1:6" x14ac:dyDescent="0.2">
      <c r="A18" t="s">
        <v>11</v>
      </c>
      <c r="B18" s="4">
        <f>D17*0.6%</f>
        <v>514.76972244000001</v>
      </c>
      <c r="C18" s="5">
        <v>44992</v>
      </c>
      <c r="E18" s="5"/>
    </row>
    <row r="19" spans="1:6" x14ac:dyDescent="0.2">
      <c r="A19" t="s">
        <v>14</v>
      </c>
      <c r="B19" s="4">
        <v>0</v>
      </c>
      <c r="C19" s="9"/>
      <c r="D19" s="10">
        <f>D17-B19</f>
        <v>85794.953739999997</v>
      </c>
      <c r="E19" s="5"/>
    </row>
    <row r="20" spans="1:6" x14ac:dyDescent="0.2">
      <c r="A20" t="s">
        <v>11</v>
      </c>
      <c r="B20" s="4">
        <v>0</v>
      </c>
      <c r="C20" s="11">
        <v>45023</v>
      </c>
      <c r="D20" s="10">
        <f>D19+514.77</f>
        <v>86309.723740000001</v>
      </c>
      <c r="E20" s="5"/>
    </row>
    <row r="21" spans="1:6" x14ac:dyDescent="0.2">
      <c r="A21" t="s">
        <v>14</v>
      </c>
      <c r="B21" s="4">
        <v>0</v>
      </c>
      <c r="C21" s="9"/>
      <c r="D21" s="10">
        <f>D20</f>
        <v>86309.723740000001</v>
      </c>
      <c r="E21" s="5"/>
    </row>
    <row r="22" spans="1:6" x14ac:dyDescent="0.2">
      <c r="A22" t="s">
        <v>11</v>
      </c>
      <c r="B22" s="4">
        <v>514.77</v>
      </c>
      <c r="C22" s="5">
        <v>45051</v>
      </c>
      <c r="D22" s="10">
        <f>D21+517.86-B22</f>
        <v>86312.813739999998</v>
      </c>
      <c r="E22" s="5"/>
    </row>
    <row r="23" spans="1:6" x14ac:dyDescent="0.2">
      <c r="A23" t="s">
        <v>14</v>
      </c>
      <c r="B23" s="4">
        <v>0</v>
      </c>
      <c r="C23" s="9"/>
      <c r="D23" s="10">
        <f>D22</f>
        <v>86312.813739999998</v>
      </c>
      <c r="E23" s="5"/>
    </row>
    <row r="24" spans="1:6" x14ac:dyDescent="0.2">
      <c r="A24" t="s">
        <v>11</v>
      </c>
      <c r="B24" s="4">
        <v>514.77</v>
      </c>
      <c r="C24" s="5">
        <v>45082</v>
      </c>
      <c r="D24" s="10">
        <f>D23+517.88-B24</f>
        <v>86315.923739999998</v>
      </c>
      <c r="E24" s="5"/>
    </row>
    <row r="25" spans="1:6" x14ac:dyDescent="0.2">
      <c r="A25" t="s">
        <v>14</v>
      </c>
      <c r="B25" s="4">
        <v>0</v>
      </c>
      <c r="C25" s="9"/>
      <c r="D25" s="10">
        <f>D24</f>
        <v>86315.923739999998</v>
      </c>
      <c r="E25" s="5"/>
    </row>
    <row r="26" spans="1:6" x14ac:dyDescent="0.2">
      <c r="A26" t="s">
        <v>11</v>
      </c>
      <c r="B26" s="4">
        <v>0</v>
      </c>
      <c r="C26" s="5">
        <v>45112</v>
      </c>
      <c r="D26" s="10">
        <f>D25+517.9</f>
        <v>86833.823739999993</v>
      </c>
      <c r="E26" s="5"/>
    </row>
    <row r="27" spans="1:6" x14ac:dyDescent="0.2">
      <c r="A27" t="s">
        <v>14</v>
      </c>
      <c r="B27" s="4">
        <v>0</v>
      </c>
      <c r="C27" s="9"/>
      <c r="D27" s="10">
        <f>D26</f>
        <v>86833.823739999993</v>
      </c>
      <c r="E27" s="5"/>
    </row>
    <row r="28" spans="1:6" x14ac:dyDescent="0.2">
      <c r="A28" t="s">
        <v>11</v>
      </c>
      <c r="B28" s="4">
        <v>0</v>
      </c>
      <c r="C28" s="5">
        <v>45145</v>
      </c>
      <c r="D28" s="10">
        <f>D27+521</f>
        <v>87354.823739999993</v>
      </c>
      <c r="E28" s="5"/>
    </row>
    <row r="29" spans="1:6" x14ac:dyDescent="0.2">
      <c r="A29" t="s">
        <v>14</v>
      </c>
      <c r="B29" s="4">
        <v>0</v>
      </c>
      <c r="C29" s="9"/>
      <c r="D29" s="10">
        <f>D28</f>
        <v>87354.823739999993</v>
      </c>
      <c r="E29" s="5"/>
    </row>
    <row r="30" spans="1:6" x14ac:dyDescent="0.2">
      <c r="A30" t="s">
        <v>11</v>
      </c>
      <c r="B30" s="4">
        <v>514.77</v>
      </c>
      <c r="C30" s="5">
        <v>45174</v>
      </c>
      <c r="D30" s="10">
        <f>D29+524.13-B30</f>
        <v>87364.183739999993</v>
      </c>
      <c r="E30" s="5"/>
    </row>
    <row r="31" spans="1:6" x14ac:dyDescent="0.2">
      <c r="A31" t="s">
        <v>14</v>
      </c>
      <c r="B31" s="4">
        <v>0</v>
      </c>
      <c r="C31" s="9"/>
      <c r="D31" s="10">
        <f>D30</f>
        <v>87364.183739999993</v>
      </c>
      <c r="E31" s="5"/>
    </row>
    <row r="32" spans="1:6" x14ac:dyDescent="0.2">
      <c r="A32" t="s">
        <v>11</v>
      </c>
      <c r="B32" s="4">
        <v>0</v>
      </c>
      <c r="C32" s="5">
        <v>45204</v>
      </c>
      <c r="D32" s="10">
        <f>D31+527.35</f>
        <v>87891.533739999999</v>
      </c>
      <c r="E32" s="5"/>
      <c r="F32" s="12"/>
    </row>
    <row r="33" spans="1:6" x14ac:dyDescent="0.2">
      <c r="A33" t="s">
        <v>14</v>
      </c>
      <c r="B33" s="4">
        <v>0</v>
      </c>
      <c r="C33" s="9"/>
      <c r="D33" s="10">
        <f>D32</f>
        <v>87891.533739999999</v>
      </c>
      <c r="E33" s="5"/>
    </row>
    <row r="34" spans="1:6" x14ac:dyDescent="0.2">
      <c r="A34" t="s">
        <v>11</v>
      </c>
      <c r="B34" s="4">
        <v>0</v>
      </c>
      <c r="C34" s="5">
        <v>45235</v>
      </c>
      <c r="D34" s="10">
        <f>D33+530.55</f>
        <v>88422.083740000002</v>
      </c>
      <c r="E34" s="5"/>
      <c r="F34" s="12"/>
    </row>
    <row r="35" spans="1:6" x14ac:dyDescent="0.2">
      <c r="A35" t="s">
        <v>14</v>
      </c>
      <c r="B35" s="4">
        <v>0</v>
      </c>
      <c r="C35" s="9"/>
      <c r="D35" s="10">
        <f>D34</f>
        <v>88422.083740000002</v>
      </c>
      <c r="E35" s="5"/>
    </row>
    <row r="36" spans="1:6" x14ac:dyDescent="0.2">
      <c r="A36" t="s">
        <v>11</v>
      </c>
      <c r="B36" s="4">
        <v>0</v>
      </c>
      <c r="C36" s="5">
        <v>45265</v>
      </c>
      <c r="D36" s="10">
        <f>D35+533.75</f>
        <v>88955.833740000002</v>
      </c>
      <c r="E36" s="5"/>
      <c r="F36" s="12"/>
    </row>
    <row r="37" spans="1:6" x14ac:dyDescent="0.2">
      <c r="A37" t="s">
        <v>14</v>
      </c>
      <c r="B37" s="4">
        <v>0</v>
      </c>
      <c r="C37" s="9"/>
      <c r="D37" s="10">
        <f>D36</f>
        <v>88955.833740000002</v>
      </c>
      <c r="E37" s="5"/>
    </row>
    <row r="38" spans="1:6" x14ac:dyDescent="0.2">
      <c r="A38" t="s">
        <v>11</v>
      </c>
      <c r="B38" s="4">
        <v>0</v>
      </c>
      <c r="C38" s="5">
        <v>45296</v>
      </c>
      <c r="D38" s="10">
        <f>D37+536.86</f>
        <v>89492.693740000002</v>
      </c>
      <c r="E38" s="5"/>
      <c r="F38" s="12"/>
    </row>
    <row r="39" spans="1:6" x14ac:dyDescent="0.2">
      <c r="A39" t="s">
        <v>14</v>
      </c>
      <c r="B39" s="4">
        <v>0</v>
      </c>
      <c r="C39" s="9"/>
      <c r="D39" s="10">
        <f>D38</f>
        <v>89492.693740000002</v>
      </c>
      <c r="E39" s="5"/>
    </row>
    <row r="40" spans="1:6" x14ac:dyDescent="0.2">
      <c r="A40" t="s">
        <v>11</v>
      </c>
      <c r="B40" s="4">
        <v>536.96</v>
      </c>
      <c r="C40" s="5">
        <v>45328</v>
      </c>
      <c r="D40" s="10">
        <f>D39</f>
        <v>89492.693740000002</v>
      </c>
      <c r="E40" s="5"/>
      <c r="F40" s="12"/>
    </row>
    <row r="41" spans="1:6" x14ac:dyDescent="0.2">
      <c r="A41" t="s">
        <v>14</v>
      </c>
      <c r="B41" s="4">
        <f>600-B40</f>
        <v>63.039999999999964</v>
      </c>
      <c r="C41" s="9">
        <v>45329</v>
      </c>
      <c r="D41" s="10">
        <f>D40-B41</f>
        <v>89429.653740000009</v>
      </c>
      <c r="E41" s="5"/>
    </row>
    <row r="42" spans="1:6" x14ac:dyDescent="0.2">
      <c r="A42" t="s">
        <v>11</v>
      </c>
      <c r="B42" s="4">
        <v>0</v>
      </c>
      <c r="C42" s="5">
        <v>45356</v>
      </c>
      <c r="D42" s="10">
        <f>D41+536.58</f>
        <v>89966.233740000011</v>
      </c>
      <c r="E42" s="5"/>
    </row>
    <row r="43" spans="1:6" x14ac:dyDescent="0.2">
      <c r="A43" t="s">
        <v>15</v>
      </c>
      <c r="B43" s="4">
        <v>-5500</v>
      </c>
      <c r="C43" s="5">
        <v>45392</v>
      </c>
      <c r="D43" s="10">
        <f>D42-B43</f>
        <v>95466.233740000011</v>
      </c>
      <c r="E43" s="5"/>
    </row>
    <row r="44" spans="1:6" x14ac:dyDescent="0.2">
      <c r="A44" t="s">
        <v>11</v>
      </c>
      <c r="B44" s="4">
        <v>0</v>
      </c>
      <c r="C44" s="5">
        <v>45387</v>
      </c>
      <c r="D44" s="10">
        <f>D43+572.84</f>
        <v>96039.073740000007</v>
      </c>
      <c r="E44" s="5"/>
    </row>
    <row r="45" spans="1:6" x14ac:dyDescent="0.2">
      <c r="A45" t="s">
        <v>14</v>
      </c>
      <c r="B45" s="4">
        <f>1000-B46</f>
        <v>423.76555755999993</v>
      </c>
      <c r="C45" s="5">
        <v>45420</v>
      </c>
      <c r="D45" s="10">
        <f>D44-B45</f>
        <v>95615.308182440014</v>
      </c>
      <c r="E45" s="5"/>
    </row>
    <row r="46" spans="1:6" x14ac:dyDescent="0.2">
      <c r="A46" t="s">
        <v>11</v>
      </c>
      <c r="B46" s="4">
        <f>D44*0.6%</f>
        <v>576.23444244000007</v>
      </c>
      <c r="C46" s="5">
        <v>45420</v>
      </c>
      <c r="D46" s="10">
        <f>D45-B46</f>
        <v>95039.073740000007</v>
      </c>
      <c r="E46" s="4"/>
    </row>
    <row r="47" spans="1:6" x14ac:dyDescent="0.2">
      <c r="A47" t="s">
        <v>14</v>
      </c>
      <c r="B47" s="4">
        <v>0</v>
      </c>
      <c r="C47" s="5">
        <v>45448</v>
      </c>
      <c r="D47" s="10">
        <f>D46-B47</f>
        <v>95039.073740000007</v>
      </c>
      <c r="E47" s="5"/>
    </row>
    <row r="48" spans="1:6" x14ac:dyDescent="0.2">
      <c r="A48" t="s">
        <v>11</v>
      </c>
      <c r="B48" s="13">
        <f>D47*0.6%</f>
        <v>570.23444244000007</v>
      </c>
      <c r="C48" s="5">
        <v>45448</v>
      </c>
      <c r="D48" s="10">
        <f t="shared" ref="D48:D56" si="0">D47</f>
        <v>95039.073740000007</v>
      </c>
      <c r="E48" s="5"/>
    </row>
    <row r="49" spans="1:5" x14ac:dyDescent="0.2">
      <c r="A49" t="s">
        <v>14</v>
      </c>
      <c r="B49" s="4">
        <v>0</v>
      </c>
      <c r="C49" s="5">
        <v>45478</v>
      </c>
      <c r="D49" s="10">
        <f t="shared" si="0"/>
        <v>95039.073740000007</v>
      </c>
      <c r="E49" s="5"/>
    </row>
    <row r="50" spans="1:5" x14ac:dyDescent="0.2">
      <c r="A50" t="s">
        <v>11</v>
      </c>
      <c r="B50" s="4">
        <f>D48*0.6%</f>
        <v>570.23444244000007</v>
      </c>
      <c r="C50" s="5">
        <v>45478</v>
      </c>
      <c r="D50" s="10">
        <f t="shared" si="0"/>
        <v>95039.073740000007</v>
      </c>
      <c r="E50" s="5"/>
    </row>
    <row r="51" spans="1:5" x14ac:dyDescent="0.2">
      <c r="A51" t="s">
        <v>14</v>
      </c>
      <c r="B51" s="4">
        <v>0</v>
      </c>
      <c r="C51" s="5">
        <v>45509</v>
      </c>
      <c r="D51" s="10">
        <f t="shared" si="0"/>
        <v>95039.073740000007</v>
      </c>
      <c r="E51" s="5"/>
    </row>
    <row r="52" spans="1:5" x14ac:dyDescent="0.2">
      <c r="A52" t="s">
        <v>11</v>
      </c>
      <c r="B52" s="4">
        <f>D50*0.6%</f>
        <v>570.23444244000007</v>
      </c>
      <c r="C52" s="5">
        <v>45509</v>
      </c>
      <c r="D52" s="10">
        <f t="shared" si="0"/>
        <v>95039.073740000007</v>
      </c>
      <c r="E52" s="5"/>
    </row>
    <row r="53" spans="1:5" x14ac:dyDescent="0.2">
      <c r="A53" t="s">
        <v>14</v>
      </c>
      <c r="B53" s="4">
        <v>0</v>
      </c>
      <c r="C53" s="5">
        <v>45540</v>
      </c>
      <c r="D53" s="10">
        <f t="shared" si="0"/>
        <v>95039.073740000007</v>
      </c>
      <c r="E53" s="5"/>
    </row>
    <row r="54" spans="1:5" x14ac:dyDescent="0.2">
      <c r="A54" t="s">
        <v>11</v>
      </c>
      <c r="B54" s="4">
        <f>B52</f>
        <v>570.23444244000007</v>
      </c>
      <c r="C54" s="5">
        <v>45540</v>
      </c>
      <c r="D54" s="10">
        <f t="shared" si="0"/>
        <v>95039.073740000007</v>
      </c>
      <c r="E54" s="5"/>
    </row>
    <row r="55" spans="1:5" x14ac:dyDescent="0.2">
      <c r="A55" t="s">
        <v>14</v>
      </c>
      <c r="B55" s="4">
        <v>0</v>
      </c>
      <c r="C55" s="5">
        <v>45572</v>
      </c>
      <c r="D55" s="10">
        <f t="shared" si="0"/>
        <v>95039.073740000007</v>
      </c>
      <c r="E55" s="5"/>
    </row>
    <row r="56" spans="1:5" x14ac:dyDescent="0.2">
      <c r="A56" t="s">
        <v>11</v>
      </c>
      <c r="B56" s="4">
        <f>B54</f>
        <v>570.23444244000007</v>
      </c>
      <c r="C56" s="5">
        <v>45572</v>
      </c>
      <c r="D56" s="10">
        <f t="shared" si="0"/>
        <v>95039.073740000007</v>
      </c>
      <c r="E56" s="5"/>
    </row>
    <row r="57" spans="1:5" x14ac:dyDescent="0.2">
      <c r="A57" t="s">
        <v>14</v>
      </c>
      <c r="B57" s="4">
        <v>0</v>
      </c>
      <c r="C57" s="5">
        <v>45603</v>
      </c>
      <c r="D57" s="10">
        <f>D56</f>
        <v>95039.073740000007</v>
      </c>
      <c r="E57" s="5"/>
    </row>
    <row r="58" spans="1:5" x14ac:dyDescent="0.2">
      <c r="A58" t="s">
        <v>11</v>
      </c>
      <c r="B58" s="4">
        <f>B56</f>
        <v>570.23444244000007</v>
      </c>
      <c r="C58" s="5">
        <v>45603</v>
      </c>
      <c r="D58" s="10">
        <f>D57</f>
        <v>95039.073740000007</v>
      </c>
      <c r="E58" s="5"/>
    </row>
    <row r="59" spans="1:5" x14ac:dyDescent="0.2">
      <c r="A59" t="s">
        <v>14</v>
      </c>
      <c r="B59" s="4">
        <v>0</v>
      </c>
      <c r="C59" s="5">
        <v>45631</v>
      </c>
      <c r="D59" s="10">
        <f>D58</f>
        <v>95039.073740000007</v>
      </c>
      <c r="E59" s="5"/>
    </row>
    <row r="60" spans="1:5" x14ac:dyDescent="0.2">
      <c r="A60" t="s">
        <v>11</v>
      </c>
      <c r="B60" s="4">
        <f t="shared" ref="B60" si="1">B58</f>
        <v>570.23444244000007</v>
      </c>
      <c r="C60" s="5">
        <v>45631</v>
      </c>
      <c r="D60" s="10">
        <f t="shared" ref="D60:D82" si="2">D59</f>
        <v>95039.073740000007</v>
      </c>
      <c r="E60" s="5"/>
    </row>
    <row r="61" spans="1:5" x14ac:dyDescent="0.2">
      <c r="A61" t="s">
        <v>14</v>
      </c>
      <c r="B61" s="4">
        <v>0</v>
      </c>
      <c r="C61" s="5">
        <v>45662</v>
      </c>
      <c r="D61" s="10">
        <f t="shared" si="2"/>
        <v>95039.073740000007</v>
      </c>
      <c r="E61" s="5"/>
    </row>
    <row r="62" spans="1:5" x14ac:dyDescent="0.2">
      <c r="A62" t="s">
        <v>11</v>
      </c>
      <c r="B62" s="4">
        <f t="shared" ref="B62" si="3">B60</f>
        <v>570.23444244000007</v>
      </c>
      <c r="C62" s="5">
        <v>45662</v>
      </c>
      <c r="D62" s="10">
        <f t="shared" si="2"/>
        <v>95039.073740000007</v>
      </c>
      <c r="E62" s="5"/>
    </row>
    <row r="63" spans="1:5" x14ac:dyDescent="0.2">
      <c r="A63" t="s">
        <v>14</v>
      </c>
      <c r="B63" s="4">
        <v>0</v>
      </c>
      <c r="C63" s="5">
        <v>45693</v>
      </c>
      <c r="D63" s="10">
        <f t="shared" si="2"/>
        <v>95039.073740000007</v>
      </c>
      <c r="E63" s="5"/>
    </row>
    <row r="64" spans="1:5" x14ac:dyDescent="0.2">
      <c r="A64" t="s">
        <v>11</v>
      </c>
      <c r="B64" s="4">
        <f t="shared" ref="B64" si="4">B62</f>
        <v>570.23444244000007</v>
      </c>
      <c r="C64" s="5">
        <v>45693</v>
      </c>
      <c r="D64" s="10">
        <f t="shared" si="2"/>
        <v>95039.073740000007</v>
      </c>
      <c r="E64" s="5"/>
    </row>
    <row r="65" spans="1:5" x14ac:dyDescent="0.2">
      <c r="A65" t="s">
        <v>14</v>
      </c>
      <c r="B65" s="4">
        <v>0</v>
      </c>
      <c r="C65" s="5">
        <v>45721</v>
      </c>
      <c r="D65" s="10">
        <f t="shared" si="2"/>
        <v>95039.073740000007</v>
      </c>
      <c r="E65" s="5"/>
    </row>
    <row r="66" spans="1:5" x14ac:dyDescent="0.2">
      <c r="A66" t="s">
        <v>11</v>
      </c>
      <c r="B66" s="4">
        <f t="shared" ref="B66" si="5">B64</f>
        <v>570.23444244000007</v>
      </c>
      <c r="C66" s="5">
        <v>45721</v>
      </c>
      <c r="D66" s="10">
        <f t="shared" si="2"/>
        <v>95039.073740000007</v>
      </c>
      <c r="E66" s="5"/>
    </row>
    <row r="67" spans="1:5" x14ac:dyDescent="0.2">
      <c r="A67" t="s">
        <v>14</v>
      </c>
      <c r="B67" s="4">
        <v>0</v>
      </c>
      <c r="C67" s="5">
        <v>45752</v>
      </c>
      <c r="D67" s="10">
        <f t="shared" si="2"/>
        <v>95039.073740000007</v>
      </c>
      <c r="E67" s="5"/>
    </row>
    <row r="68" spans="1:5" x14ac:dyDescent="0.2">
      <c r="A68" t="s">
        <v>11</v>
      </c>
      <c r="B68" s="4">
        <f t="shared" ref="B68" si="6">B66</f>
        <v>570.23444244000007</v>
      </c>
      <c r="C68" s="5">
        <v>45752</v>
      </c>
      <c r="D68" s="10">
        <f t="shared" si="2"/>
        <v>95039.073740000007</v>
      </c>
      <c r="E68" s="5"/>
    </row>
    <row r="69" spans="1:5" x14ac:dyDescent="0.2">
      <c r="A69" t="s">
        <v>14</v>
      </c>
      <c r="B69" s="4">
        <v>0</v>
      </c>
      <c r="C69" s="5">
        <v>45782</v>
      </c>
      <c r="D69" s="10">
        <f t="shared" si="2"/>
        <v>95039.073740000007</v>
      </c>
      <c r="E69" s="5"/>
    </row>
    <row r="70" spans="1:5" x14ac:dyDescent="0.2">
      <c r="A70" t="s">
        <v>11</v>
      </c>
      <c r="B70" s="4">
        <f t="shared" ref="B70" si="7">B68</f>
        <v>570.23444244000007</v>
      </c>
      <c r="C70" s="5">
        <v>45782</v>
      </c>
      <c r="D70" s="10">
        <f t="shared" si="2"/>
        <v>95039.073740000007</v>
      </c>
      <c r="E70" s="5"/>
    </row>
    <row r="71" spans="1:5" x14ac:dyDescent="0.2">
      <c r="A71" t="s">
        <v>14</v>
      </c>
      <c r="B71" s="4">
        <v>0</v>
      </c>
      <c r="C71" s="5">
        <v>45813</v>
      </c>
      <c r="D71" s="10">
        <f t="shared" si="2"/>
        <v>95039.073740000007</v>
      </c>
      <c r="E71" s="5"/>
    </row>
    <row r="72" spans="1:5" x14ac:dyDescent="0.2">
      <c r="A72" t="s">
        <v>11</v>
      </c>
      <c r="B72" s="4">
        <v>570.23</v>
      </c>
      <c r="C72" s="5">
        <v>45814</v>
      </c>
      <c r="D72" s="10">
        <f t="shared" si="2"/>
        <v>95039.073740000007</v>
      </c>
      <c r="E72" s="5"/>
    </row>
    <row r="73" spans="1:5" x14ac:dyDescent="0.2">
      <c r="A73" t="s">
        <v>14</v>
      </c>
      <c r="B73" s="4">
        <v>0</v>
      </c>
      <c r="C73" s="5">
        <v>45843</v>
      </c>
      <c r="D73" s="10">
        <f t="shared" si="2"/>
        <v>95039.073740000007</v>
      </c>
      <c r="E73" s="5"/>
    </row>
    <row r="74" spans="1:5" x14ac:dyDescent="0.2">
      <c r="A74" t="s">
        <v>16</v>
      </c>
      <c r="B74" s="4">
        <v>570.23</v>
      </c>
      <c r="C74" s="5">
        <v>45881</v>
      </c>
      <c r="D74" s="10">
        <f t="shared" si="2"/>
        <v>95039.073740000007</v>
      </c>
      <c r="E74" s="5"/>
    </row>
    <row r="75" spans="1:5" x14ac:dyDescent="0.2">
      <c r="A75" t="s">
        <v>14</v>
      </c>
      <c r="B75" s="4">
        <v>0</v>
      </c>
      <c r="C75" s="5">
        <v>45874</v>
      </c>
      <c r="D75" s="10">
        <f t="shared" si="2"/>
        <v>95039.073740000007</v>
      </c>
      <c r="E75" s="5"/>
    </row>
    <row r="76" spans="1:5" x14ac:dyDescent="0.2">
      <c r="A76" t="s">
        <v>17</v>
      </c>
      <c r="B76" s="4">
        <v>570.23</v>
      </c>
      <c r="C76" s="5">
        <v>45904</v>
      </c>
      <c r="D76" s="10">
        <f t="shared" si="2"/>
        <v>95039.073740000007</v>
      </c>
      <c r="E76" s="5"/>
    </row>
    <row r="77" spans="1:5" x14ac:dyDescent="0.2">
      <c r="A77" t="s">
        <v>14</v>
      </c>
      <c r="B77" s="4">
        <v>0</v>
      </c>
      <c r="C77" s="5">
        <v>45905</v>
      </c>
      <c r="D77" s="10">
        <f t="shared" si="2"/>
        <v>95039.073740000007</v>
      </c>
      <c r="E77" s="5"/>
    </row>
    <row r="78" spans="1:5" x14ac:dyDescent="0.2">
      <c r="A78" t="s">
        <v>18</v>
      </c>
      <c r="B78" s="4">
        <v>570.23</v>
      </c>
      <c r="C78" s="5">
        <v>45937</v>
      </c>
      <c r="D78" s="10">
        <f t="shared" si="2"/>
        <v>95039.073740000007</v>
      </c>
      <c r="E78" s="5"/>
    </row>
    <row r="79" spans="1:5" x14ac:dyDescent="0.2">
      <c r="A79" t="s">
        <v>14</v>
      </c>
      <c r="B79" s="4">
        <v>0</v>
      </c>
      <c r="C79" s="5">
        <v>45935</v>
      </c>
      <c r="D79" s="10">
        <f t="shared" si="2"/>
        <v>95039.073740000007</v>
      </c>
      <c r="E79" s="5"/>
    </row>
    <row r="80" spans="1:5" x14ac:dyDescent="0.2">
      <c r="A80" t="s">
        <v>19</v>
      </c>
      <c r="B80" s="4">
        <v>570.23</v>
      </c>
      <c r="C80" s="5">
        <v>45967</v>
      </c>
      <c r="D80" s="10">
        <f t="shared" si="2"/>
        <v>95039.073740000007</v>
      </c>
      <c r="E80" s="5"/>
    </row>
    <row r="81" spans="1:5" x14ac:dyDescent="0.2">
      <c r="A81" t="s">
        <v>14</v>
      </c>
      <c r="B81" s="4">
        <v>0</v>
      </c>
      <c r="C81" s="5">
        <v>45966</v>
      </c>
      <c r="D81" s="10">
        <f t="shared" si="2"/>
        <v>95039.073740000007</v>
      </c>
      <c r="E81" s="5"/>
    </row>
    <row r="82" spans="1:5" x14ac:dyDescent="0.2">
      <c r="A82" t="s">
        <v>20</v>
      </c>
      <c r="B82" s="4">
        <v>570.23</v>
      </c>
      <c r="C82" s="5">
        <v>45998</v>
      </c>
      <c r="D82" s="10">
        <f t="shared" si="2"/>
        <v>95039.073740000007</v>
      </c>
      <c r="E82" s="5"/>
    </row>
    <row r="83" spans="1:5" x14ac:dyDescent="0.2">
      <c r="A83" t="s">
        <v>14</v>
      </c>
      <c r="B83" s="4">
        <v>1500</v>
      </c>
      <c r="C83" s="5">
        <v>45998</v>
      </c>
      <c r="D83" s="10">
        <f>D82-B83</f>
        <v>93539.073740000007</v>
      </c>
      <c r="E83" s="5"/>
    </row>
    <row r="84" spans="1:5" x14ac:dyDescent="0.2">
      <c r="A84" t="s">
        <v>21</v>
      </c>
      <c r="B84" s="4">
        <f>D83*0.6%</f>
        <v>561.23444244000007</v>
      </c>
      <c r="C84" s="5">
        <v>46037</v>
      </c>
      <c r="D84" s="10">
        <f>D83</f>
        <v>93539.073740000007</v>
      </c>
      <c r="E84" s="5"/>
    </row>
    <row r="85" spans="1:5" x14ac:dyDescent="0.2">
      <c r="A85" t="s">
        <v>14</v>
      </c>
      <c r="B85" s="4">
        <f>1000-B84</f>
        <v>438.76555755999993</v>
      </c>
      <c r="C85" s="5">
        <v>46037</v>
      </c>
      <c r="D85" s="10">
        <f>D84-B85</f>
        <v>93100.308182440014</v>
      </c>
      <c r="E85" s="5"/>
    </row>
    <row r="86" spans="1:5" x14ac:dyDescent="0.2">
      <c r="A86" t="s">
        <v>22</v>
      </c>
      <c r="B86" s="4">
        <f>D85*0.6%</f>
        <v>558.6018490946401</v>
      </c>
      <c r="C86" s="5">
        <v>46079</v>
      </c>
      <c r="D86" s="10">
        <f>D85</f>
        <v>93100.308182440014</v>
      </c>
      <c r="E86" s="5"/>
    </row>
    <row r="87" spans="1:5" x14ac:dyDescent="0.2">
      <c r="A87" t="s">
        <v>14</v>
      </c>
      <c r="B87" s="4">
        <f>1000-B86</f>
        <v>441.3981509053599</v>
      </c>
      <c r="C87" s="5">
        <v>46079</v>
      </c>
      <c r="D87" s="10">
        <f>D86-B87</f>
        <v>92658.910031534659</v>
      </c>
      <c r="E87" s="5"/>
    </row>
    <row r="88" spans="1:5" x14ac:dyDescent="0.2">
      <c r="A88" t="s">
        <v>11</v>
      </c>
      <c r="B88" s="4">
        <f>D87*0.6%</f>
        <v>555.95346018920793</v>
      </c>
      <c r="C88" s="5">
        <v>46086</v>
      </c>
      <c r="D88" s="10">
        <f>D87</f>
        <v>92658.910031534659</v>
      </c>
      <c r="E88" s="5"/>
    </row>
    <row r="89" spans="1:5" x14ac:dyDescent="0.2">
      <c r="A89" t="s">
        <v>14</v>
      </c>
      <c r="B89" s="4">
        <v>2.65</v>
      </c>
      <c r="C89" s="5">
        <v>46086</v>
      </c>
      <c r="D89" s="10">
        <f>D88-B89</f>
        <v>92656.260031534664</v>
      </c>
      <c r="E89" s="5"/>
    </row>
    <row r="90" spans="1:5" x14ac:dyDescent="0.2">
      <c r="A90" t="s">
        <v>11</v>
      </c>
      <c r="B90" s="4">
        <f>D89*0.6%</f>
        <v>555.93756018920794</v>
      </c>
      <c r="C90" s="5">
        <v>46119</v>
      </c>
      <c r="D90" s="10">
        <f t="shared" ref="D90" si="8">D89</f>
        <v>92656.260031534664</v>
      </c>
      <c r="E90" s="5"/>
    </row>
    <row r="91" spans="1:5" x14ac:dyDescent="0.2">
      <c r="A91" t="s">
        <v>14</v>
      </c>
      <c r="B91" s="4">
        <f>1000-B90</f>
        <v>444.06243981079206</v>
      </c>
      <c r="C91" s="5">
        <v>46119</v>
      </c>
      <c r="D91" s="10">
        <f t="shared" ref="D91" si="9">D90-B91</f>
        <v>92212.197591723874</v>
      </c>
      <c r="E91" s="5"/>
    </row>
    <row r="92" spans="1:5" x14ac:dyDescent="0.2">
      <c r="A92" t="s">
        <v>11</v>
      </c>
      <c r="B92" s="4">
        <f t="shared" ref="B92" si="10">D91*0.6%</f>
        <v>553.27318555034321</v>
      </c>
      <c r="C92" s="5">
        <v>46147</v>
      </c>
      <c r="D92" s="10">
        <f t="shared" ref="D92" si="11">D91</f>
        <v>92212.197591723874</v>
      </c>
      <c r="E92" s="5"/>
    </row>
    <row r="93" spans="1:5" x14ac:dyDescent="0.2">
      <c r="A93" t="s">
        <v>14</v>
      </c>
      <c r="B93" s="4">
        <f>1000-B92</f>
        <v>446.72681444965679</v>
      </c>
      <c r="C93" s="5">
        <v>46147</v>
      </c>
      <c r="D93" s="10">
        <f t="shared" ref="D93" si="12">D92-B93</f>
        <v>91765.470777274211</v>
      </c>
      <c r="E93" s="5"/>
    </row>
    <row r="94" spans="1:5" x14ac:dyDescent="0.2">
      <c r="A94" s="18" t="s">
        <v>11</v>
      </c>
      <c r="B94" s="19">
        <f t="shared" ref="B94" si="13">D93*0.6%</f>
        <v>550.59282466364527</v>
      </c>
      <c r="C94" s="20">
        <v>46178</v>
      </c>
      <c r="D94" s="21">
        <f t="shared" ref="D94" si="14">D93</f>
        <v>91765.470777274211</v>
      </c>
      <c r="E94" s="5"/>
    </row>
    <row r="95" spans="1:5" x14ac:dyDescent="0.2">
      <c r="A95" s="18" t="s">
        <v>14</v>
      </c>
      <c r="B95" s="19">
        <f>1000-B94</f>
        <v>449.40717533635473</v>
      </c>
      <c r="C95" s="20">
        <v>46178</v>
      </c>
      <c r="D95" s="21">
        <f t="shared" ref="D95" si="15">D94-B95</f>
        <v>91316.063601937858</v>
      </c>
      <c r="E95" s="5"/>
    </row>
    <row r="96" spans="1:5" x14ac:dyDescent="0.2">
      <c r="A96" s="14" t="s">
        <v>11</v>
      </c>
      <c r="B96" s="15">
        <f t="shared" ref="B96" si="16">D95*0.6%</f>
        <v>547.89638161162713</v>
      </c>
      <c r="C96" s="16">
        <v>46208</v>
      </c>
      <c r="D96" s="17">
        <f t="shared" ref="D96" si="17">D95</f>
        <v>91316.063601937858</v>
      </c>
      <c r="E96" s="5"/>
    </row>
    <row r="97" spans="1:5" x14ac:dyDescent="0.2">
      <c r="A97" s="14" t="s">
        <v>14</v>
      </c>
      <c r="B97" s="15">
        <v>0</v>
      </c>
      <c r="C97" s="16">
        <v>46208</v>
      </c>
      <c r="D97" s="17">
        <f t="shared" ref="D97" si="18">D96-B97</f>
        <v>91316.063601937858</v>
      </c>
      <c r="E97" s="5"/>
    </row>
    <row r="98" spans="1:5" x14ac:dyDescent="0.2">
      <c r="A98" s="14" t="s">
        <v>11</v>
      </c>
      <c r="B98" s="15">
        <f t="shared" ref="B98" si="19">D97*0.6%</f>
        <v>547.89638161162713</v>
      </c>
      <c r="C98" s="16">
        <v>46239</v>
      </c>
      <c r="D98" s="17">
        <f t="shared" ref="D98" si="20">D97</f>
        <v>91316.063601937858</v>
      </c>
      <c r="E98" s="5"/>
    </row>
    <row r="99" spans="1:5" x14ac:dyDescent="0.2">
      <c r="A99" s="14" t="s">
        <v>14</v>
      </c>
      <c r="B99" s="15">
        <v>0</v>
      </c>
      <c r="C99" s="16">
        <v>46239</v>
      </c>
      <c r="D99" s="17">
        <f t="shared" ref="D99" si="21">D98-B99</f>
        <v>91316.063601937858</v>
      </c>
      <c r="E99" s="5"/>
    </row>
    <row r="100" spans="1:5" x14ac:dyDescent="0.2">
      <c r="A100" s="14" t="s">
        <v>11</v>
      </c>
      <c r="B100" s="15">
        <f t="shared" ref="B100" si="22">D99*0.6%</f>
        <v>547.89638161162713</v>
      </c>
      <c r="C100" s="16">
        <v>46270</v>
      </c>
      <c r="D100" s="17">
        <f t="shared" ref="D100" si="23">D99</f>
        <v>91316.063601937858</v>
      </c>
      <c r="E100" s="5"/>
    </row>
    <row r="101" spans="1:5" x14ac:dyDescent="0.2">
      <c r="A101" s="14" t="s">
        <v>14</v>
      </c>
      <c r="B101" s="15">
        <v>0</v>
      </c>
      <c r="C101" s="16">
        <v>46270</v>
      </c>
      <c r="D101" s="17">
        <f t="shared" ref="D101" si="24">D100-B101</f>
        <v>91316.063601937858</v>
      </c>
      <c r="E101" s="5"/>
    </row>
    <row r="102" spans="1:5" x14ac:dyDescent="0.2">
      <c r="A102" s="14" t="s">
        <v>11</v>
      </c>
      <c r="B102" s="15">
        <f t="shared" ref="B102" si="25">D101*0.6%</f>
        <v>547.89638161162713</v>
      </c>
      <c r="C102" s="16">
        <v>46300</v>
      </c>
      <c r="D102" s="17">
        <f t="shared" ref="D102" si="26">D101</f>
        <v>91316.063601937858</v>
      </c>
      <c r="E102" s="5"/>
    </row>
    <row r="103" spans="1:5" x14ac:dyDescent="0.2">
      <c r="A103" s="14" t="s">
        <v>14</v>
      </c>
      <c r="B103" s="15">
        <v>0</v>
      </c>
      <c r="C103" s="16">
        <v>46300</v>
      </c>
      <c r="D103" s="17">
        <f t="shared" ref="D103" si="27">D102-B103</f>
        <v>91316.063601937858</v>
      </c>
      <c r="E103" s="5"/>
    </row>
    <row r="104" spans="1:5" x14ac:dyDescent="0.2">
      <c r="A104" s="14" t="s">
        <v>11</v>
      </c>
      <c r="B104" s="15">
        <f t="shared" ref="B104" si="28">D103*0.6%</f>
        <v>547.89638161162713</v>
      </c>
      <c r="C104" s="16">
        <v>46331</v>
      </c>
      <c r="D104" s="17">
        <f t="shared" ref="D104" si="29">D103</f>
        <v>91316.063601937858</v>
      </c>
      <c r="E104" s="5"/>
    </row>
    <row r="105" spans="1:5" x14ac:dyDescent="0.2">
      <c r="A105" s="14" t="s">
        <v>14</v>
      </c>
      <c r="B105" s="15">
        <v>0</v>
      </c>
      <c r="C105" s="16">
        <v>46331</v>
      </c>
      <c r="D105" s="17">
        <f t="shared" ref="D105" si="30">D104-B105</f>
        <v>91316.063601937858</v>
      </c>
      <c r="E105" s="5"/>
    </row>
    <row r="106" spans="1:5" x14ac:dyDescent="0.2">
      <c r="A106" s="14" t="s">
        <v>11</v>
      </c>
      <c r="B106" s="15">
        <f t="shared" ref="B106" si="31">D105*0.6%</f>
        <v>547.89638161162713</v>
      </c>
      <c r="C106" s="16">
        <v>46361</v>
      </c>
      <c r="D106" s="17">
        <f t="shared" ref="D106" si="32">D105</f>
        <v>91316.063601937858</v>
      </c>
      <c r="E106" s="5"/>
    </row>
    <row r="107" spans="1:5" x14ac:dyDescent="0.2">
      <c r="A107" s="14" t="s">
        <v>14</v>
      </c>
      <c r="B107" s="15">
        <v>0</v>
      </c>
      <c r="C107" s="16">
        <v>46361</v>
      </c>
      <c r="D107" s="17">
        <f t="shared" ref="D107" si="33">D106-B107</f>
        <v>91316.063601937858</v>
      </c>
      <c r="E107" s="5"/>
    </row>
    <row r="108" spans="1:5" x14ac:dyDescent="0.2">
      <c r="E108" s="5"/>
    </row>
    <row r="109" spans="1:5" x14ac:dyDescent="0.2">
      <c r="E109" s="5"/>
    </row>
    <row r="110" spans="1:5" x14ac:dyDescent="0.2">
      <c r="E110" s="5"/>
    </row>
    <row r="111" spans="1:5" x14ac:dyDescent="0.2">
      <c r="E111" s="5"/>
    </row>
    <row r="112" spans="1:5" x14ac:dyDescent="0.2">
      <c r="E112" s="5"/>
    </row>
    <row r="113" spans="5:5" x14ac:dyDescent="0.2">
      <c r="E113" s="5"/>
    </row>
    <row r="114" spans="5:5" x14ac:dyDescent="0.2">
      <c r="E114" s="5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  <ignoredErrors>
    <ignoredError sqref="D83:D84 D86 B85:B86 B9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CC Sr. Carmino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de Cassia Guimaraes Januzzi Turquino</dc:creator>
  <cp:lastModifiedBy>Lucas Sahão Turquino</cp:lastModifiedBy>
  <dcterms:created xsi:type="dcterms:W3CDTF">2025-06-20T14:33:59Z</dcterms:created>
  <dcterms:modified xsi:type="dcterms:W3CDTF">2026-06-17T20:09:41Z</dcterms:modified>
</cp:coreProperties>
</file>