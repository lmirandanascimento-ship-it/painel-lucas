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turquino/Library/CloudStorage/Dropbox/INVESTIMENTOS/"/>
    </mc:Choice>
  </mc:AlternateContent>
  <xr:revisionPtr revIDLastSave="0" documentId="13_ncr:1_{E478E212-90D0-A946-9625-24C89F814D20}" xr6:coauthVersionLast="47" xr6:coauthVersionMax="47" xr10:uidLastSave="{00000000-0000-0000-0000-000000000000}"/>
  <bookViews>
    <workbookView xWindow="0" yWindow="680" windowWidth="34200" windowHeight="19640" xr2:uid="{72460585-5388-434C-9CFF-AD544485A859}"/>
  </bookViews>
  <sheets>
    <sheet name="Títulos Guilherme" sheetId="4" r:id="rId1"/>
    <sheet name="Títulos Lucas" sheetId="1" r:id="rId2"/>
    <sheet name="Acerto Valor Carro" sheetId="2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5" i="4"/>
  <c r="F20" i="1" l="1"/>
  <c r="E20" i="1"/>
  <c r="F5" i="4"/>
  <c r="J2" i="4"/>
  <c r="L32" i="1"/>
  <c r="B2" i="2" l="1"/>
  <c r="C2" i="2" s="1"/>
  <c r="C3" i="2" s="1"/>
  <c r="C4" i="2" s="1"/>
  <c r="C5" i="2" s="1"/>
  <c r="C6" i="2" s="1"/>
  <c r="C7" i="2" s="1"/>
  <c r="C8" i="2" s="1"/>
  <c r="C9" i="2" s="1"/>
  <c r="F19" i="1"/>
  <c r="D5" i="1"/>
  <c r="E5" i="1"/>
  <c r="E8" i="1"/>
  <c r="E9" i="1"/>
  <c r="E12" i="1"/>
  <c r="E13" i="1"/>
  <c r="E14" i="1"/>
  <c r="E15" i="1"/>
  <c r="E16" i="1" l="1"/>
  <c r="F16" i="1" s="1"/>
  <c r="E17" i="1"/>
  <c r="F15" i="1"/>
  <c r="E10" i="1"/>
  <c r="F10" i="1"/>
  <c r="F13" i="1"/>
  <c r="D12" i="1"/>
  <c r="F12" i="1"/>
  <c r="E7" i="1"/>
  <c r="E6" i="1"/>
  <c r="F6" i="1"/>
  <c r="F8" i="1"/>
  <c r="F7" i="1"/>
  <c r="O15" i="1"/>
  <c r="F14" i="1"/>
  <c r="J2" i="1"/>
  <c r="F5" i="1"/>
  <c r="C2" i="1" l="1"/>
  <c r="D2" i="1" s="1"/>
  <c r="F17" i="1"/>
  <c r="E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Turquino</author>
  </authors>
  <commentList>
    <comment ref="B5" authorId="0" shapeId="0" xr:uid="{61D982B3-A544-9D40-94E1-EF8100DF9E72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R$ 14.580,30 abatimento de contas e R$ 5.419,70 depósito na conta.</t>
        </r>
      </text>
    </comment>
    <comment ref="B7" authorId="0" shapeId="0" xr:uid="{E85A0191-76F5-594D-AA44-799216EC5EB1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Depósito ALDN</t>
        </r>
      </text>
    </comment>
    <comment ref="B8" authorId="0" shapeId="0" xr:uid="{6E4A12E3-B4DF-1C40-AA23-A54173DB8FDD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Despesas Cartão de Crédito Azul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R$ 1.827,37 Tex malhas
</t>
        </r>
        <r>
          <rPr>
            <sz val="10"/>
            <color rgb="FF000000"/>
            <rFont val="Tahoma"/>
            <family val="2"/>
          </rPr>
          <t xml:space="preserve">R$ 1.031,63 Dalilla Textil
</t>
        </r>
        <r>
          <rPr>
            <sz val="10"/>
            <color rgb="FF000000"/>
            <rFont val="Tahoma"/>
            <family val="2"/>
          </rPr>
          <t xml:space="preserve">R$ 1.852,18 Dalilla Textil
</t>
        </r>
        <r>
          <rPr>
            <sz val="10"/>
            <color rgb="FF000000"/>
            <rFont val="Tahoma"/>
            <family val="2"/>
          </rPr>
          <t xml:space="preserve">R$ 24,25 Canva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Total: R$ 4.736,05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2" authorId="0" shapeId="0" xr:uid="{87B233C9-D219-2C4D-A757-8D0D1EB176D3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>DALILA TEXTILCartão AZUL 3XConta a receber/pagar20/11/20241.031,62</t>
        </r>
        <r>
          <rPr>
            <b/>
            <sz val="10"/>
            <color rgb="FF000000"/>
            <rFont val="Aptos Narrow"/>
            <family val="2"/>
          </rPr>
          <t>Em aberto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>DALILA TEXTILCartao Azul 3xConta a receber/pagar20/11/20241.852,18</t>
        </r>
        <r>
          <rPr>
            <b/>
            <sz val="10"/>
            <color rgb="FF000000"/>
            <rFont val="Aptos Narrow"/>
            <family val="2"/>
          </rPr>
          <t>Em aberto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>DALILA TEXTILCartão Azul 3xConta a receber/pagar20/11/20241.658,85</t>
        </r>
        <r>
          <rPr>
            <b/>
            <sz val="10"/>
            <color rgb="FF000000"/>
            <rFont val="Aptos Narrow"/>
            <family val="2"/>
          </rPr>
          <t>Em aberto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>VB CAMISETAS INDUSTRIA E COMERCIO LTDACARTAO AZUL 3XConta a receber/pagar20/11/20241.260,00</t>
        </r>
        <r>
          <rPr>
            <b/>
            <sz val="10"/>
            <color rgb="FF000000"/>
            <rFont val="Aptos Narrow"/>
            <family val="2"/>
          </rPr>
          <t>Em aberto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 xml:space="preserve">
</t>
        </r>
        <r>
          <rPr>
            <sz val="10"/>
            <color rgb="FF000000"/>
            <rFont val="Aptos Narrow"/>
            <family val="2"/>
          </rPr>
          <t>R$ 500,00 1ª PARCELA SITE</t>
        </r>
      </text>
    </comment>
    <comment ref="B13" authorId="0" shapeId="0" xr:uid="{B17875F8-7B64-C043-9F73-23B4B2A0A8E7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Débitos
</t>
        </r>
        <r>
          <rPr>
            <sz val="10"/>
            <color rgb="FF000000"/>
            <rFont val="Tahoma"/>
            <family val="2"/>
          </rPr>
          <t xml:space="preserve">Cartão de Crédito:
</t>
        </r>
        <r>
          <rPr>
            <sz val="10"/>
            <color rgb="FF000000"/>
            <rFont val="Tahoma"/>
            <family val="2"/>
          </rPr>
          <t xml:space="preserve">Dalila R$ 1.658,85
</t>
        </r>
        <r>
          <rPr>
            <sz val="10"/>
            <color rgb="FF000000"/>
            <rFont val="Tahoma"/>
            <family val="2"/>
          </rPr>
          <t xml:space="preserve">Pano Bom R$ 460,00
</t>
        </r>
        <r>
          <rPr>
            <sz val="10"/>
            <color rgb="FF000000"/>
            <rFont val="Tahoma"/>
            <family val="2"/>
          </rPr>
          <t xml:space="preserve">Alavancador Site R$ 333,34
</t>
        </r>
        <r>
          <rPr>
            <sz val="10"/>
            <color rgb="FF000000"/>
            <rFont val="Tahoma"/>
            <family val="2"/>
          </rPr>
          <t xml:space="preserve">Emp. 01 R$ 484,00
</t>
        </r>
        <r>
          <rPr>
            <sz val="10"/>
            <color rgb="FF000000"/>
            <rFont val="Tahoma"/>
            <family val="2"/>
          </rPr>
          <t xml:space="preserve">Emp. 04 R$ 94,72
</t>
        </r>
        <r>
          <rPr>
            <sz val="10"/>
            <color rgb="FF000000"/>
            <rFont val="Tahoma"/>
            <family val="2"/>
          </rPr>
          <t xml:space="preserve">Emp. 06 R$ 126,05
</t>
        </r>
        <r>
          <rPr>
            <sz val="10"/>
            <color rgb="FF000000"/>
            <rFont val="Aptos Narrow"/>
            <family val="2"/>
          </rPr>
          <t xml:space="preserve">Emp. 05 R$ 500,00 (residual)
</t>
        </r>
        <r>
          <rPr>
            <sz val="10"/>
            <color rgb="FF000000"/>
            <rFont val="Aptos Narrow"/>
            <family val="2"/>
          </rPr>
          <t>Bling R$ 100,00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Total R$ 3.756,96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Créditos: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Saldo CC R$ 1.208,34 28/01/25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Valor Remanescente: R$ 2.548,62</t>
        </r>
      </text>
    </comment>
    <comment ref="B14" authorId="0" shapeId="0" xr:uid="{68EF0144-0B87-0A45-94AD-B38489F66F67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Emp. XP para C6 conta corrente para pag. boleto Pacif</t>
        </r>
      </text>
    </comment>
    <comment ref="D19" authorId="0" shapeId="0" xr:uid="{9F9A3807-36DF-FA46-8C9A-17859A2BE986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Valores Abatidos nos R$ 100.000,00 em 16/04/2025 R$ 71.583,89</t>
        </r>
      </text>
    </comment>
    <comment ref="L27" authorId="0" shapeId="0" xr:uid="{B63AEFC3-45C0-D84D-AA92-BD7D849EBF8B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Depósito 2 calças Matheus na conta do escritório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Turquino</author>
  </authors>
  <commentList>
    <comment ref="B4" authorId="0" shapeId="0" xr:uid="{9A56720B-CFA7-B841-BB3F-9B5477091D9E}">
      <text>
        <r>
          <rPr>
            <b/>
            <sz val="10"/>
            <color rgb="FF000000"/>
            <rFont val="Tahoma"/>
            <family val="2"/>
          </rPr>
          <t>Lucas Turquino: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Pago pela conta BB Lucas</t>
        </r>
      </text>
    </comment>
  </commentList>
</comments>
</file>

<file path=xl/sharedStrings.xml><?xml version="1.0" encoding="utf-8"?>
<sst xmlns="http://schemas.openxmlformats.org/spreadsheetml/2006/main" count="105" uniqueCount="37">
  <si>
    <t>Data Emp.</t>
  </si>
  <si>
    <t>Data Prevista para Pag.</t>
  </si>
  <si>
    <t>Saldo Devedor</t>
  </si>
  <si>
    <t>Parcela Juros</t>
  </si>
  <si>
    <t>Títulos</t>
  </si>
  <si>
    <t>Recorrência</t>
  </si>
  <si>
    <t>Mensal</t>
  </si>
  <si>
    <t>Utilizado</t>
  </si>
  <si>
    <t>Utilização %</t>
  </si>
  <si>
    <t>Disponível</t>
  </si>
  <si>
    <t>Valor Originário</t>
  </si>
  <si>
    <t>Data Pag.</t>
  </si>
  <si>
    <t>Total Pagamentos</t>
  </si>
  <si>
    <t>Valor Pagamento</t>
  </si>
  <si>
    <t>Tabela Recebíveis/Empréstimos Nomã</t>
  </si>
  <si>
    <t>Tabela Pagamentos Nomã</t>
  </si>
  <si>
    <t>Emp. 01</t>
  </si>
  <si>
    <t>Emp. 02</t>
  </si>
  <si>
    <t>Emp. 03</t>
  </si>
  <si>
    <t>Emp. 04</t>
  </si>
  <si>
    <t>Abertura Loja</t>
  </si>
  <si>
    <t>12x</t>
  </si>
  <si>
    <t>Emp. 05</t>
  </si>
  <si>
    <t>Premium Comércio</t>
  </si>
  <si>
    <t>Premium Com</t>
  </si>
  <si>
    <t>Emp. 06</t>
  </si>
  <si>
    <t>Emp. 07</t>
  </si>
  <si>
    <t>Emp. 08</t>
  </si>
  <si>
    <t>Emp. 09</t>
  </si>
  <si>
    <t>Emp.10</t>
  </si>
  <si>
    <t>Emp. 11</t>
  </si>
  <si>
    <t>Emp. 12</t>
  </si>
  <si>
    <t>Emp. 10</t>
  </si>
  <si>
    <t>Data</t>
  </si>
  <si>
    <t>CARRO</t>
  </si>
  <si>
    <t>Emp. Noma Terraco</t>
  </si>
  <si>
    <t>JUROS Emp.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</si>
</sst>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9" tint="0.79998168889431442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44" fontId="5" fillId="2" borderId="0" xfId="1" applyFont="1" applyFill="1" applyAlignment="1">
      <alignment wrapText="1"/>
    </xf>
    <xf numFmtId="164" fontId="5" fillId="2" borderId="0" xfId="0" applyNumberFormat="1" applyFont="1" applyFill="1" applyAlignment="1">
      <alignment wrapText="1"/>
    </xf>
    <xf numFmtId="10" fontId="5" fillId="2" borderId="0" xfId="0" applyNumberFormat="1" applyFont="1" applyFill="1" applyAlignment="1">
      <alignment horizontal="center" wrapText="1"/>
    </xf>
    <xf numFmtId="44" fontId="5" fillId="2" borderId="0" xfId="0" applyNumberFormat="1" applyFont="1" applyFill="1" applyAlignment="1">
      <alignment wrapText="1"/>
    </xf>
    <xf numFmtId="164" fontId="5" fillId="2" borderId="0" xfId="0" applyNumberFormat="1" applyFont="1" applyFill="1" applyAlignment="1">
      <alignment vertical="center" wrapText="1"/>
    </xf>
    <xf numFmtId="0" fontId="0" fillId="2" borderId="0" xfId="0" applyFill="1" applyAlignment="1">
      <alignment horizontal="left" wrapText="1"/>
    </xf>
    <xf numFmtId="0" fontId="4" fillId="0" borderId="0" xfId="0" applyFont="1"/>
    <xf numFmtId="164" fontId="0" fillId="0" borderId="0" xfId="0" applyNumberFormat="1" applyAlignment="1">
      <alignment horizontal="center" vertical="center"/>
    </xf>
    <xf numFmtId="0" fontId="11" fillId="3" borderId="5" xfId="0" applyFont="1" applyFill="1" applyBorder="1" applyAlignment="1">
      <alignment horizontal="left" vertical="center" wrapText="1"/>
    </xf>
    <xf numFmtId="14" fontId="12" fillId="4" borderId="0" xfId="0" applyNumberFormat="1" applyFont="1" applyFill="1" applyAlignment="1">
      <alignment horizontal="center"/>
    </xf>
    <xf numFmtId="164" fontId="12" fillId="4" borderId="0" xfId="0" applyNumberFormat="1" applyFont="1" applyFill="1"/>
    <xf numFmtId="14" fontId="12" fillId="5" borderId="0" xfId="0" applyNumberFormat="1" applyFont="1" applyFill="1" applyAlignment="1">
      <alignment horizontal="center"/>
    </xf>
    <xf numFmtId="164" fontId="12" fillId="5" borderId="0" xfId="0" applyNumberFormat="1" applyFont="1" applyFill="1"/>
    <xf numFmtId="14" fontId="12" fillId="5" borderId="0" xfId="0" applyNumberFormat="1" applyFont="1" applyFill="1"/>
    <xf numFmtId="14" fontId="12" fillId="4" borderId="0" xfId="0" applyNumberFormat="1" applyFont="1" applyFill="1"/>
    <xf numFmtId="164" fontId="13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0" fillId="2" borderId="4" xfId="0" applyNumberForma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</cellXfs>
  <cellStyles count="2">
    <cellStyle name="Moeda" xfId="1" builtinId="4"/>
    <cellStyle name="Normal" xfId="0" builtinId="0"/>
  </cellStyles>
  <dxfs count="28"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9" tint="0.79998168889431442"/>
        <name val="Aptos Narrow"/>
        <family val="2"/>
        <scheme val="minor"/>
      </font>
      <numFmt numFmtId="164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9" tint="0.79998168889431442"/>
        <name val="Aptos Narrow"/>
        <family val="2"/>
        <scheme val="minor"/>
      </font>
      <numFmt numFmtId="164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C08A8-0F5C-A947-94CD-63A30BBE13B2}" name="Tabela33" displayName="Tabela33" ref="B4:H287" totalsRowShown="0" headerRowDxfId="13" dataDxfId="12">
  <autoFilter ref="B4:H287" xr:uid="{65AA9734-A9C2-F94E-A169-8FA9473CE3B2}"/>
  <sortState xmlns:xlrd2="http://schemas.microsoft.com/office/spreadsheetml/2017/richdata2" ref="B5:H287">
    <sortCondition ref="H4:H287"/>
  </sortState>
  <tableColumns count="7">
    <tableColumn id="1" xr3:uid="{BE448762-8440-8544-9CE2-B9FD03CECA8F}" name="Títulos" dataDxfId="11"/>
    <tableColumn id="2" xr3:uid="{238AA134-9AB3-7848-AA3B-53E06B3EFAD9}" name="Data Emp." dataDxfId="10"/>
    <tableColumn id="3" xr3:uid="{2F2DD73F-1F05-924A-813F-1BE415A9C9AE}" name="Valor Originário" dataDxfId="9">
      <calculatedColumnFormula>20000+4200</calculatedColumnFormula>
    </tableColumn>
    <tableColumn id="4" xr3:uid="{6ECE64F7-1C2B-984F-9D04-A4773B5B1719}" name="Saldo Devedor" dataDxfId="8"/>
    <tableColumn id="5" xr3:uid="{13E590E9-F36D-D749-B0E2-3EC67B1F43F0}" name="Parcela Juros" dataDxfId="7">
      <calculatedColumnFormula>Tabela33[[#This Row],[Saldo Devedor]]*2%</calculatedColumnFormula>
    </tableColumn>
    <tableColumn id="7" xr3:uid="{061ABAF2-9DBC-DB43-B296-E093B34F4A60}" name="Recorrência" dataDxfId="6"/>
    <tableColumn id="6" xr3:uid="{FD7C77E9-FAF4-D74D-80C6-886BBC03F1D1}" name="Data Prevista para Pag." dataDxfId="5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255FA2-553D-7146-8859-7D66C28914A1}" name="Tabela325" displayName="Tabela325" ref="J4:L271" totalsRowShown="0" headerRowDxfId="4" dataDxfId="3">
  <autoFilter ref="J4:L271" xr:uid="{57C8AA19-CE70-CE4B-A870-07799B002AF5}"/>
  <tableColumns count="3">
    <tableColumn id="1" xr3:uid="{1BE83FE7-94D0-5E40-92DD-2B2990F80AA4}" name="Títulos" dataDxfId="2"/>
    <tableColumn id="2" xr3:uid="{E235E558-3D0A-8341-9481-7F45EF6F7F19}" name="Data Pag." dataDxfId="1"/>
    <tableColumn id="3" xr3:uid="{F76206E9-E9C6-A94E-B25B-6966F8168333}" name="Valor Pagamento" dataDxfId="0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A9734-A9C2-F94E-A169-8FA9473CE3B2}" name="Tabela3" displayName="Tabela3" ref="B4:H301" totalsRowShown="0" headerRowDxfId="27" dataDxfId="26">
  <autoFilter ref="B4:H301" xr:uid="{65AA9734-A9C2-F94E-A169-8FA9473CE3B2}"/>
  <sortState xmlns:xlrd2="http://schemas.microsoft.com/office/spreadsheetml/2017/richdata2" ref="B5:H301">
    <sortCondition ref="H4:H301"/>
  </sortState>
  <tableColumns count="7">
    <tableColumn id="1" xr3:uid="{C127FAF2-C522-6B48-B9BF-ACB828ADDBB0}" name="Títulos" dataDxfId="25"/>
    <tableColumn id="2" xr3:uid="{719B29DD-E3B9-BF4D-BC53-1D1C874918E7}" name="Data Emp." dataDxfId="24"/>
    <tableColumn id="3" xr3:uid="{677A0EC2-81E7-B14F-BAD1-DF6B523A8E19}" name="Valor Originário" dataDxfId="23">
      <calculatedColumnFormula>20000+4200</calculatedColumnFormula>
    </tableColumn>
    <tableColumn id="4" xr3:uid="{3C754028-E933-EF4F-9775-7AEB0996D9B5}" name="Saldo Devedor" dataDxfId="22"/>
    <tableColumn id="5" xr3:uid="{7C0BFECB-FF03-274E-823A-F4FC2FBB1CB7}" name="Parcela Juros" dataDxfId="21">
      <calculatedColumnFormula>Tabela3[[#This Row],[Saldo Devedor]]*2%</calculatedColumnFormula>
    </tableColumn>
    <tableColumn id="7" xr3:uid="{9B0E1C4B-EF91-4D42-8AB1-6ED6E17E9205}" name="Recorrência" dataDxfId="20"/>
    <tableColumn id="6" xr3:uid="{9817172D-93D5-A643-A169-5E5E74F5AA88}" name="Data Prevista para Pag." dataDxfId="19"/>
  </tableColumns>
  <tableStyleInfo name="TableStyleDark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8AA19-CE70-CE4B-A870-07799B002AF5}" name="Tabela32" displayName="Tabela32" ref="J4:L301" totalsRowShown="0" headerRowDxfId="18" dataDxfId="17">
  <autoFilter ref="J4:L301" xr:uid="{57C8AA19-CE70-CE4B-A870-07799B002AF5}"/>
  <tableColumns count="3">
    <tableColumn id="1" xr3:uid="{426929CF-3F8B-9C44-8497-19C2B1BCFE6A}" name="Títulos" dataDxfId="16"/>
    <tableColumn id="2" xr3:uid="{C6DB6B1F-D603-CC46-A575-6F71849C5D46}" name="Data Pag." dataDxfId="15"/>
    <tableColumn id="3" xr3:uid="{9A7A9E89-89F4-1F45-881F-74AF2D700042}" name="Valor Pagamento" dataDxfId="14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13D1-6126-C741-9D50-18C7FECA5269}">
  <dimension ref="A1:M287"/>
  <sheetViews>
    <sheetView tabSelected="1" zoomScale="145" zoomScaleNormal="145" workbookViewId="0">
      <selection activeCell="K12" sqref="K12"/>
    </sheetView>
  </sheetViews>
  <sheetFormatPr baseColWidth="10" defaultColWidth="11.1640625" defaultRowHeight="16" x14ac:dyDescent="0.2"/>
  <cols>
    <col min="1" max="1" width="7.1640625" style="13" customWidth="1"/>
    <col min="2" max="2" width="16.5" customWidth="1"/>
    <col min="3" max="3" width="10.83203125" customWidth="1"/>
    <col min="4" max="4" width="14.1640625" customWidth="1"/>
    <col min="5" max="6" width="15.83203125" customWidth="1"/>
    <col min="7" max="7" width="12.33203125" style="7" customWidth="1"/>
    <col min="8" max="8" width="13.33203125" style="6" customWidth="1"/>
    <col min="9" max="9" width="6" style="13" customWidth="1"/>
    <col min="11" max="11" width="11" bestFit="1" customWidth="1"/>
    <col min="12" max="12" width="13.1640625" customWidth="1"/>
    <col min="13" max="13" width="11.1640625" style="13"/>
  </cols>
  <sheetData>
    <row r="1" spans="2:12" s="11" customFormat="1" ht="14" customHeight="1" x14ac:dyDescent="0.2">
      <c r="B1" s="14"/>
      <c r="C1" s="14"/>
      <c r="D1" s="14"/>
      <c r="E1" s="14"/>
      <c r="F1" s="15"/>
      <c r="G1" s="16"/>
      <c r="H1" s="17"/>
      <c r="J1" s="37" t="s">
        <v>12</v>
      </c>
      <c r="K1" s="37"/>
    </row>
    <row r="2" spans="2:12" s="12" customFormat="1" ht="33" customHeight="1" thickBot="1" x14ac:dyDescent="0.25">
      <c r="B2" s="18"/>
      <c r="C2" s="19"/>
      <c r="D2" s="20"/>
      <c r="E2" s="21"/>
      <c r="F2" s="19"/>
      <c r="G2" s="22"/>
      <c r="H2" s="23"/>
      <c r="J2" s="38">
        <f>SUM(Tabela325[Valor Pagamento])</f>
        <v>26000</v>
      </c>
      <c r="K2" s="39"/>
    </row>
    <row r="3" spans="2:12" ht="33" customHeight="1" thickBot="1" x14ac:dyDescent="0.25">
      <c r="B3" s="34" t="s">
        <v>14</v>
      </c>
      <c r="C3" s="35"/>
      <c r="D3" s="35"/>
      <c r="E3" s="35"/>
      <c r="F3" s="35"/>
      <c r="G3" s="35"/>
      <c r="H3" s="36"/>
      <c r="J3" s="34" t="s">
        <v>15</v>
      </c>
      <c r="K3" s="35"/>
      <c r="L3" s="35"/>
    </row>
    <row r="4" spans="2:12" ht="37" customHeight="1" x14ac:dyDescent="0.2">
      <c r="B4" s="5" t="s">
        <v>4</v>
      </c>
      <c r="C4" s="2" t="s">
        <v>0</v>
      </c>
      <c r="D4" s="5" t="s">
        <v>10</v>
      </c>
      <c r="E4" s="2" t="s">
        <v>2</v>
      </c>
      <c r="F4" s="2" t="s">
        <v>3</v>
      </c>
      <c r="G4" s="9" t="s">
        <v>5</v>
      </c>
      <c r="H4" s="2" t="s">
        <v>1</v>
      </c>
      <c r="J4" s="5" t="s">
        <v>4</v>
      </c>
      <c r="K4" s="5" t="s">
        <v>11</v>
      </c>
      <c r="L4" s="5" t="s">
        <v>13</v>
      </c>
    </row>
    <row r="5" spans="2:12" x14ac:dyDescent="0.2">
      <c r="B5" t="s">
        <v>16</v>
      </c>
      <c r="C5" s="3">
        <v>46164</v>
      </c>
      <c r="D5" s="1">
        <v>9000</v>
      </c>
      <c r="E5" s="1">
        <f>Tabela325[[#This Row],[Valor Pagamento]]+L6+L7+L8+L9+L10+L11+L12+L13+L14+L15</f>
        <v>26000</v>
      </c>
      <c r="F5" s="10">
        <f>Tabela33[[#This Row],[Saldo Devedor]]*1.2%</f>
        <v>312</v>
      </c>
      <c r="G5" s="8" t="s">
        <v>6</v>
      </c>
      <c r="H5" s="6">
        <v>25</v>
      </c>
      <c r="J5" t="s">
        <v>16</v>
      </c>
      <c r="K5" s="4">
        <v>46167</v>
      </c>
      <c r="L5" s="1">
        <v>9000</v>
      </c>
    </row>
    <row r="6" spans="2:12" x14ac:dyDescent="0.2">
      <c r="C6" s="4"/>
      <c r="D6" s="1"/>
      <c r="E6" s="24"/>
      <c r="F6" s="10"/>
      <c r="J6" t="s">
        <v>16</v>
      </c>
      <c r="K6" s="4">
        <v>46174</v>
      </c>
      <c r="L6" s="1">
        <v>7000</v>
      </c>
    </row>
    <row r="7" spans="2:12" x14ac:dyDescent="0.2">
      <c r="C7" s="4"/>
      <c r="D7" s="1"/>
      <c r="F7" s="10"/>
      <c r="J7" t="s">
        <v>16</v>
      </c>
      <c r="K7" s="4">
        <v>46178</v>
      </c>
      <c r="L7" s="1">
        <v>5000</v>
      </c>
    </row>
    <row r="8" spans="2:12" x14ac:dyDescent="0.2">
      <c r="C8" s="4"/>
      <c r="D8" s="1"/>
      <c r="F8" s="10"/>
      <c r="J8" t="s">
        <v>16</v>
      </c>
      <c r="K8" s="4">
        <v>46185</v>
      </c>
      <c r="L8" s="1">
        <v>5000</v>
      </c>
    </row>
    <row r="9" spans="2:12" x14ac:dyDescent="0.2">
      <c r="C9" s="4"/>
      <c r="D9" s="1"/>
      <c r="F9" s="10"/>
      <c r="K9" s="4"/>
      <c r="L9" s="1"/>
    </row>
    <row r="10" spans="2:12" x14ac:dyDescent="0.2">
      <c r="C10" s="4"/>
      <c r="D10" s="1"/>
      <c r="F10" s="10"/>
      <c r="K10" s="4"/>
      <c r="L10" s="1"/>
    </row>
    <row r="11" spans="2:12" x14ac:dyDescent="0.2">
      <c r="C11" s="4"/>
      <c r="D11" s="1"/>
      <c r="F11" s="10"/>
      <c r="K11" s="4"/>
      <c r="L11" s="1"/>
    </row>
    <row r="12" spans="2:12" x14ac:dyDescent="0.2">
      <c r="C12" s="4"/>
      <c r="D12" s="1"/>
      <c r="F12" s="10"/>
      <c r="K12" s="4"/>
      <c r="L12" s="1"/>
    </row>
    <row r="13" spans="2:12" x14ac:dyDescent="0.2">
      <c r="C13" s="4"/>
      <c r="D13" s="1"/>
      <c r="F13" s="10"/>
      <c r="K13" s="4"/>
      <c r="L13" s="1"/>
    </row>
    <row r="14" spans="2:12" x14ac:dyDescent="0.2">
      <c r="C14" s="4"/>
      <c r="D14" s="1"/>
      <c r="F14" s="10"/>
      <c r="K14" s="4"/>
      <c r="L14" s="1"/>
    </row>
    <row r="15" spans="2:12" x14ac:dyDescent="0.2">
      <c r="C15" s="4"/>
      <c r="D15" s="1"/>
      <c r="F15" s="10"/>
      <c r="K15" s="4"/>
      <c r="L15" s="1"/>
    </row>
    <row r="16" spans="2:12" x14ac:dyDescent="0.2">
      <c r="C16" s="4"/>
      <c r="D16" s="1"/>
      <c r="F16" s="10"/>
      <c r="K16" s="4"/>
      <c r="L16" s="1"/>
    </row>
    <row r="17" spans="3:12" x14ac:dyDescent="0.2">
      <c r="C17" s="4"/>
      <c r="D17" s="1"/>
      <c r="F17" s="10"/>
      <c r="K17" s="4"/>
      <c r="L17" s="1"/>
    </row>
    <row r="18" spans="3:12" x14ac:dyDescent="0.2">
      <c r="C18" s="4"/>
      <c r="D18" s="1"/>
      <c r="F18" s="10"/>
      <c r="K18" s="4"/>
      <c r="L18" s="1"/>
    </row>
    <row r="19" spans="3:12" x14ac:dyDescent="0.2">
      <c r="C19" s="4"/>
      <c r="D19" s="1"/>
      <c r="F19" s="10"/>
      <c r="K19" s="4"/>
      <c r="L19" s="1"/>
    </row>
    <row r="20" spans="3:12" x14ac:dyDescent="0.2">
      <c r="C20" s="4"/>
      <c r="D20" s="1"/>
      <c r="F20" s="10"/>
      <c r="K20" s="4"/>
      <c r="L20" s="1"/>
    </row>
    <row r="21" spans="3:12" x14ac:dyDescent="0.2">
      <c r="C21" s="4"/>
      <c r="D21" s="1"/>
      <c r="F21" s="10"/>
      <c r="K21" s="4"/>
      <c r="L21" s="1"/>
    </row>
    <row r="22" spans="3:12" x14ac:dyDescent="0.2">
      <c r="C22" s="4"/>
      <c r="D22" s="1"/>
      <c r="F22" s="10"/>
      <c r="K22" s="4"/>
      <c r="L22" s="1"/>
    </row>
    <row r="23" spans="3:12" x14ac:dyDescent="0.2">
      <c r="C23" s="4"/>
      <c r="D23" s="1"/>
      <c r="F23" s="10"/>
      <c r="K23" s="4"/>
      <c r="L23" s="1"/>
    </row>
    <row r="24" spans="3:12" x14ac:dyDescent="0.2">
      <c r="C24" s="4"/>
      <c r="D24" s="1"/>
      <c r="F24" s="10"/>
      <c r="K24" s="4"/>
      <c r="L24" s="1"/>
    </row>
    <row r="25" spans="3:12" x14ac:dyDescent="0.2">
      <c r="C25" s="4"/>
      <c r="D25" s="1"/>
      <c r="F25" s="10"/>
      <c r="K25" s="4"/>
      <c r="L25" s="1"/>
    </row>
    <row r="26" spans="3:12" x14ac:dyDescent="0.2">
      <c r="C26" s="4"/>
      <c r="D26" s="1"/>
      <c r="F26" s="10"/>
      <c r="K26" s="4"/>
      <c r="L26" s="1"/>
    </row>
    <row r="27" spans="3:12" x14ac:dyDescent="0.2">
      <c r="C27" s="4"/>
      <c r="D27" s="1"/>
      <c r="F27" s="10"/>
      <c r="K27" s="4"/>
      <c r="L27" s="1"/>
    </row>
    <row r="28" spans="3:12" x14ac:dyDescent="0.2">
      <c r="C28" s="4"/>
      <c r="D28" s="1"/>
      <c r="F28" s="10"/>
      <c r="K28" s="4"/>
      <c r="L28" s="1"/>
    </row>
    <row r="29" spans="3:12" x14ac:dyDescent="0.2">
      <c r="C29" s="4"/>
      <c r="D29" s="1"/>
      <c r="F29" s="10"/>
      <c r="K29" s="4"/>
      <c r="L29" s="1"/>
    </row>
    <row r="30" spans="3:12" x14ac:dyDescent="0.2">
      <c r="C30" s="4"/>
      <c r="D30" s="1"/>
      <c r="F30" s="10"/>
      <c r="K30" s="4"/>
      <c r="L30" s="1"/>
    </row>
    <row r="31" spans="3:12" x14ac:dyDescent="0.2">
      <c r="C31" s="4"/>
      <c r="D31" s="1"/>
      <c r="F31" s="10"/>
      <c r="K31" s="4"/>
      <c r="L31" s="1"/>
    </row>
    <row r="32" spans="3:12" x14ac:dyDescent="0.2">
      <c r="C32" s="4"/>
      <c r="D32" s="1"/>
      <c r="F32" s="10"/>
      <c r="K32" s="4"/>
      <c r="L32" s="1"/>
    </row>
    <row r="33" spans="3:12" x14ac:dyDescent="0.2">
      <c r="C33" s="4"/>
      <c r="D33" s="1"/>
      <c r="F33" s="10"/>
      <c r="K33" s="4"/>
      <c r="L33" s="1"/>
    </row>
    <row r="34" spans="3:12" x14ac:dyDescent="0.2">
      <c r="C34" s="4"/>
      <c r="D34" s="1"/>
      <c r="F34" s="10"/>
      <c r="K34" s="4"/>
      <c r="L34" s="1"/>
    </row>
    <row r="35" spans="3:12" x14ac:dyDescent="0.2">
      <c r="C35" s="4"/>
      <c r="D35" s="1"/>
      <c r="F35" s="10"/>
      <c r="K35" s="4"/>
      <c r="L35" s="1"/>
    </row>
    <row r="36" spans="3:12" x14ac:dyDescent="0.2">
      <c r="C36" s="4"/>
      <c r="D36" s="1"/>
      <c r="F36" s="10"/>
      <c r="K36" s="4"/>
      <c r="L36" s="1"/>
    </row>
    <row r="37" spans="3:12" x14ac:dyDescent="0.2">
      <c r="C37" s="4"/>
      <c r="D37" s="1"/>
      <c r="F37" s="10"/>
      <c r="K37" s="4"/>
      <c r="L37" s="1"/>
    </row>
    <row r="38" spans="3:12" x14ac:dyDescent="0.2">
      <c r="C38" s="4"/>
      <c r="D38" s="1"/>
      <c r="F38" s="10"/>
      <c r="K38" s="4"/>
      <c r="L38" s="1"/>
    </row>
    <row r="39" spans="3:12" x14ac:dyDescent="0.2">
      <c r="C39" s="4"/>
      <c r="D39" s="1"/>
      <c r="F39" s="10"/>
      <c r="K39" s="4"/>
      <c r="L39" s="1"/>
    </row>
    <row r="40" spans="3:12" x14ac:dyDescent="0.2">
      <c r="C40" s="4"/>
      <c r="D40" s="1"/>
      <c r="F40" s="10"/>
      <c r="K40" s="4"/>
      <c r="L40" s="1"/>
    </row>
    <row r="41" spans="3:12" x14ac:dyDescent="0.2">
      <c r="C41" s="4"/>
      <c r="D41" s="1"/>
      <c r="F41" s="10"/>
      <c r="K41" s="4"/>
      <c r="L41" s="1"/>
    </row>
    <row r="42" spans="3:12" x14ac:dyDescent="0.2">
      <c r="C42" s="4"/>
      <c r="D42" s="1"/>
      <c r="F42" s="10"/>
      <c r="K42" s="4"/>
      <c r="L42" s="1"/>
    </row>
    <row r="43" spans="3:12" x14ac:dyDescent="0.2">
      <c r="C43" s="4"/>
      <c r="D43" s="1"/>
      <c r="F43" s="10"/>
      <c r="K43" s="4"/>
      <c r="L43" s="1"/>
    </row>
    <row r="44" spans="3:12" x14ac:dyDescent="0.2">
      <c r="C44" s="4"/>
      <c r="D44" s="1"/>
      <c r="F44" s="10"/>
      <c r="K44" s="4"/>
      <c r="L44" s="1"/>
    </row>
    <row r="45" spans="3:12" x14ac:dyDescent="0.2">
      <c r="C45" s="4"/>
      <c r="D45" s="1"/>
      <c r="F45" s="10"/>
      <c r="K45" s="4"/>
      <c r="L45" s="1"/>
    </row>
    <row r="46" spans="3:12" x14ac:dyDescent="0.2">
      <c r="C46" s="4"/>
      <c r="D46" s="1"/>
      <c r="F46" s="10"/>
      <c r="K46" s="4"/>
      <c r="L46" s="1"/>
    </row>
    <row r="47" spans="3:12" x14ac:dyDescent="0.2">
      <c r="C47" s="4"/>
      <c r="D47" s="1"/>
      <c r="F47" s="10"/>
      <c r="K47" s="4"/>
      <c r="L47" s="1"/>
    </row>
    <row r="48" spans="3:12" x14ac:dyDescent="0.2">
      <c r="C48" s="4"/>
      <c r="D48" s="1"/>
      <c r="F48" s="10"/>
      <c r="K48" s="4"/>
      <c r="L48" s="1"/>
    </row>
    <row r="49" spans="3:12" x14ac:dyDescent="0.2">
      <c r="C49" s="4"/>
      <c r="D49" s="1"/>
      <c r="F49" s="10"/>
      <c r="K49" s="4"/>
      <c r="L49" s="1"/>
    </row>
    <row r="50" spans="3:12" x14ac:dyDescent="0.2">
      <c r="C50" s="4"/>
      <c r="D50" s="1"/>
      <c r="F50" s="10"/>
      <c r="K50" s="4"/>
      <c r="L50" s="1"/>
    </row>
    <row r="51" spans="3:12" x14ac:dyDescent="0.2">
      <c r="C51" s="4"/>
      <c r="D51" s="1"/>
      <c r="F51" s="10"/>
      <c r="K51" s="4"/>
      <c r="L51" s="1"/>
    </row>
    <row r="52" spans="3:12" x14ac:dyDescent="0.2">
      <c r="C52" s="4"/>
      <c r="D52" s="1"/>
      <c r="F52" s="10"/>
      <c r="K52" s="4"/>
    </row>
    <row r="53" spans="3:12" x14ac:dyDescent="0.2">
      <c r="C53" s="4"/>
      <c r="D53" s="1"/>
      <c r="F53" s="10"/>
      <c r="K53" s="4"/>
    </row>
    <row r="54" spans="3:12" x14ac:dyDescent="0.2">
      <c r="C54" s="4"/>
      <c r="D54" s="1"/>
      <c r="F54" s="10"/>
      <c r="K54" s="4"/>
    </row>
    <row r="55" spans="3:12" x14ac:dyDescent="0.2">
      <c r="C55" s="4"/>
      <c r="D55" s="1"/>
      <c r="F55" s="10"/>
      <c r="K55" s="4"/>
    </row>
    <row r="56" spans="3:12" x14ac:dyDescent="0.2">
      <c r="C56" s="4"/>
      <c r="D56" s="1"/>
      <c r="F56" s="10"/>
      <c r="K56" s="4"/>
    </row>
    <row r="57" spans="3:12" x14ac:dyDescent="0.2">
      <c r="C57" s="4"/>
      <c r="D57" s="1"/>
      <c r="F57" s="10"/>
      <c r="K57" s="4"/>
    </row>
    <row r="58" spans="3:12" x14ac:dyDescent="0.2">
      <c r="C58" s="4"/>
      <c r="D58" s="1"/>
      <c r="F58" s="10"/>
      <c r="K58" s="4"/>
    </row>
    <row r="59" spans="3:12" x14ac:dyDescent="0.2">
      <c r="C59" s="4"/>
      <c r="D59" s="1"/>
      <c r="F59" s="10"/>
      <c r="K59" s="4"/>
    </row>
    <row r="60" spans="3:12" x14ac:dyDescent="0.2">
      <c r="C60" s="4"/>
      <c r="D60" s="1"/>
      <c r="F60" s="10"/>
      <c r="K60" s="4"/>
    </row>
    <row r="61" spans="3:12" x14ac:dyDescent="0.2">
      <c r="C61" s="4"/>
      <c r="D61" s="1"/>
      <c r="F61" s="10"/>
      <c r="K61" s="4"/>
    </row>
    <row r="62" spans="3:12" x14ac:dyDescent="0.2">
      <c r="C62" s="4"/>
      <c r="D62" s="1"/>
      <c r="F62" s="10"/>
      <c r="K62" s="4"/>
    </row>
    <row r="63" spans="3:12" x14ac:dyDescent="0.2">
      <c r="C63" s="4"/>
      <c r="D63" s="1"/>
      <c r="F63" s="10"/>
      <c r="K63" s="4"/>
    </row>
    <row r="64" spans="3:12" x14ac:dyDescent="0.2">
      <c r="C64" s="4"/>
      <c r="D64" s="1"/>
      <c r="F64" s="10"/>
      <c r="K64" s="4"/>
    </row>
    <row r="65" spans="3:11" x14ac:dyDescent="0.2">
      <c r="C65" s="4"/>
      <c r="D65" s="1"/>
      <c r="F65" s="10"/>
      <c r="K65" s="4"/>
    </row>
    <row r="66" spans="3:11" x14ac:dyDescent="0.2">
      <c r="C66" s="4"/>
      <c r="D66" s="1"/>
      <c r="F66" s="10"/>
      <c r="K66" s="4"/>
    </row>
    <row r="67" spans="3:11" x14ac:dyDescent="0.2">
      <c r="C67" s="4"/>
      <c r="D67" s="1"/>
      <c r="F67" s="10"/>
      <c r="K67" s="4"/>
    </row>
    <row r="68" spans="3:11" x14ac:dyDescent="0.2">
      <c r="C68" s="4"/>
      <c r="D68" s="1"/>
      <c r="F68" s="10"/>
      <c r="K68" s="4"/>
    </row>
    <row r="69" spans="3:11" x14ac:dyDescent="0.2">
      <c r="C69" s="4"/>
      <c r="D69" s="1"/>
      <c r="F69" s="10"/>
      <c r="K69" s="4"/>
    </row>
    <row r="70" spans="3:11" x14ac:dyDescent="0.2">
      <c r="C70" s="4"/>
      <c r="D70" s="1"/>
      <c r="F70" s="10"/>
      <c r="K70" s="4"/>
    </row>
    <row r="71" spans="3:11" x14ac:dyDescent="0.2">
      <c r="C71" s="4"/>
      <c r="D71" s="1"/>
      <c r="F71" s="10"/>
      <c r="K71" s="4"/>
    </row>
    <row r="72" spans="3:11" x14ac:dyDescent="0.2">
      <c r="C72" s="4"/>
      <c r="D72" s="1"/>
      <c r="F72" s="10"/>
      <c r="K72" s="4"/>
    </row>
    <row r="73" spans="3:11" x14ac:dyDescent="0.2">
      <c r="C73" s="4"/>
      <c r="D73" s="1"/>
      <c r="F73" s="10"/>
      <c r="K73" s="4"/>
    </row>
    <row r="74" spans="3:11" x14ac:dyDescent="0.2">
      <c r="C74" s="4"/>
      <c r="D74" s="1"/>
      <c r="F74" s="10"/>
      <c r="K74" s="4"/>
    </row>
    <row r="75" spans="3:11" x14ac:dyDescent="0.2">
      <c r="C75" s="4"/>
      <c r="D75" s="1"/>
      <c r="F75" s="10"/>
      <c r="K75" s="4"/>
    </row>
    <row r="76" spans="3:11" x14ac:dyDescent="0.2">
      <c r="C76" s="4"/>
      <c r="D76" s="1"/>
      <c r="F76" s="10"/>
      <c r="K76" s="4"/>
    </row>
    <row r="77" spans="3:11" x14ac:dyDescent="0.2">
      <c r="C77" s="4"/>
      <c r="D77" s="1"/>
      <c r="F77" s="10"/>
      <c r="K77" s="4"/>
    </row>
    <row r="78" spans="3:11" x14ac:dyDescent="0.2">
      <c r="C78" s="4"/>
      <c r="D78" s="1"/>
      <c r="F78" s="10"/>
      <c r="K78" s="4"/>
    </row>
    <row r="79" spans="3:11" x14ac:dyDescent="0.2">
      <c r="C79" s="4"/>
      <c r="D79" s="1"/>
      <c r="F79" s="10"/>
      <c r="K79" s="4"/>
    </row>
    <row r="80" spans="3:11" x14ac:dyDescent="0.2">
      <c r="C80" s="4"/>
      <c r="D80" s="1"/>
      <c r="F80" s="10"/>
      <c r="K80" s="4"/>
    </row>
    <row r="81" spans="3:11" x14ac:dyDescent="0.2">
      <c r="C81" s="4"/>
      <c r="D81" s="1"/>
      <c r="F81" s="10"/>
      <c r="K81" s="4"/>
    </row>
    <row r="82" spans="3:11" x14ac:dyDescent="0.2">
      <c r="C82" s="4"/>
      <c r="D82" s="1"/>
      <c r="F82" s="10"/>
      <c r="K82" s="4"/>
    </row>
    <row r="83" spans="3:11" x14ac:dyDescent="0.2">
      <c r="C83" s="4"/>
      <c r="D83" s="1"/>
      <c r="F83" s="10"/>
      <c r="K83" s="4"/>
    </row>
    <row r="84" spans="3:11" x14ac:dyDescent="0.2">
      <c r="C84" s="4"/>
      <c r="D84" s="1"/>
      <c r="F84" s="10"/>
      <c r="K84" s="4"/>
    </row>
    <row r="85" spans="3:11" x14ac:dyDescent="0.2">
      <c r="C85" s="4"/>
      <c r="D85" s="1"/>
      <c r="F85" s="10"/>
      <c r="K85" s="4"/>
    </row>
    <row r="86" spans="3:11" x14ac:dyDescent="0.2">
      <c r="C86" s="4"/>
      <c r="D86" s="1"/>
      <c r="F86" s="10"/>
      <c r="K86" s="4"/>
    </row>
    <row r="87" spans="3:11" x14ac:dyDescent="0.2">
      <c r="C87" s="4"/>
      <c r="D87" s="1"/>
      <c r="F87" s="10"/>
      <c r="K87" s="4"/>
    </row>
    <row r="88" spans="3:11" x14ac:dyDescent="0.2">
      <c r="C88" s="4"/>
      <c r="D88" s="1"/>
      <c r="F88" s="10"/>
      <c r="K88" s="4"/>
    </row>
    <row r="89" spans="3:11" x14ac:dyDescent="0.2">
      <c r="C89" s="4"/>
      <c r="D89" s="1"/>
      <c r="F89" s="10"/>
      <c r="K89" s="4"/>
    </row>
    <row r="90" spans="3:11" x14ac:dyDescent="0.2">
      <c r="C90" s="4"/>
      <c r="D90" s="1"/>
      <c r="F90" s="10"/>
      <c r="K90" s="4"/>
    </row>
    <row r="91" spans="3:11" x14ac:dyDescent="0.2">
      <c r="C91" s="4"/>
      <c r="D91" s="1"/>
      <c r="F91" s="10"/>
      <c r="K91" s="4"/>
    </row>
    <row r="92" spans="3:11" x14ac:dyDescent="0.2">
      <c r="C92" s="4"/>
      <c r="D92" s="1"/>
      <c r="F92" s="10"/>
      <c r="K92" s="4"/>
    </row>
    <row r="93" spans="3:11" x14ac:dyDescent="0.2">
      <c r="C93" s="4"/>
      <c r="D93" s="1"/>
      <c r="F93" s="10"/>
      <c r="K93" s="4"/>
    </row>
    <row r="94" spans="3:11" x14ac:dyDescent="0.2">
      <c r="C94" s="4"/>
      <c r="D94" s="1"/>
      <c r="F94" s="10"/>
      <c r="K94" s="4"/>
    </row>
    <row r="95" spans="3:11" x14ac:dyDescent="0.2">
      <c r="C95" s="4"/>
      <c r="D95" s="1"/>
      <c r="F95" s="10"/>
      <c r="K95" s="4"/>
    </row>
    <row r="96" spans="3:11" x14ac:dyDescent="0.2">
      <c r="C96" s="4"/>
      <c r="D96" s="1"/>
      <c r="F96" s="10"/>
      <c r="K96" s="4"/>
    </row>
    <row r="97" spans="3:11" x14ac:dyDescent="0.2">
      <c r="C97" s="4"/>
      <c r="D97" s="1"/>
      <c r="F97" s="10"/>
      <c r="K97" s="4"/>
    </row>
    <row r="98" spans="3:11" x14ac:dyDescent="0.2">
      <c r="C98" s="4"/>
      <c r="D98" s="1"/>
      <c r="F98" s="10"/>
      <c r="K98" s="4"/>
    </row>
    <row r="99" spans="3:11" x14ac:dyDescent="0.2">
      <c r="C99" s="4"/>
      <c r="D99" s="1"/>
      <c r="F99" s="10"/>
      <c r="K99" s="4"/>
    </row>
    <row r="100" spans="3:11" x14ac:dyDescent="0.2">
      <c r="C100" s="4"/>
      <c r="D100" s="1"/>
      <c r="F100" s="10"/>
      <c r="K100" s="4"/>
    </row>
    <row r="101" spans="3:11" x14ac:dyDescent="0.2">
      <c r="C101" s="4"/>
      <c r="D101" s="1"/>
      <c r="F101" s="10"/>
      <c r="K101" s="4"/>
    </row>
    <row r="102" spans="3:11" x14ac:dyDescent="0.2">
      <c r="C102" s="4"/>
      <c r="D102" s="1"/>
      <c r="F102" s="10"/>
      <c r="K102" s="4"/>
    </row>
    <row r="103" spans="3:11" x14ac:dyDescent="0.2">
      <c r="C103" s="4"/>
      <c r="D103" s="1"/>
      <c r="F103" s="10"/>
      <c r="K103" s="4"/>
    </row>
    <row r="104" spans="3:11" x14ac:dyDescent="0.2">
      <c r="C104" s="4"/>
      <c r="D104" s="1"/>
      <c r="F104" s="10"/>
      <c r="K104" s="4"/>
    </row>
    <row r="105" spans="3:11" x14ac:dyDescent="0.2">
      <c r="C105" s="4"/>
      <c r="D105" s="1"/>
      <c r="F105" s="10"/>
      <c r="K105" s="4"/>
    </row>
    <row r="106" spans="3:11" x14ac:dyDescent="0.2">
      <c r="C106" s="4"/>
      <c r="D106" s="1"/>
      <c r="F106" s="10"/>
      <c r="K106" s="4"/>
    </row>
    <row r="107" spans="3:11" x14ac:dyDescent="0.2">
      <c r="C107" s="4"/>
      <c r="D107" s="1"/>
      <c r="F107" s="10"/>
      <c r="K107" s="4"/>
    </row>
    <row r="108" spans="3:11" x14ac:dyDescent="0.2">
      <c r="C108" s="4"/>
      <c r="D108" s="1"/>
      <c r="F108" s="10"/>
      <c r="K108" s="4"/>
    </row>
    <row r="109" spans="3:11" x14ac:dyDescent="0.2">
      <c r="C109" s="4"/>
      <c r="D109" s="1"/>
      <c r="F109" s="10"/>
      <c r="K109" s="4"/>
    </row>
    <row r="110" spans="3:11" x14ac:dyDescent="0.2">
      <c r="C110" s="4"/>
      <c r="D110" s="1"/>
      <c r="F110" s="10"/>
      <c r="K110" s="4"/>
    </row>
    <row r="111" spans="3:11" x14ac:dyDescent="0.2">
      <c r="C111" s="4"/>
      <c r="D111" s="1"/>
      <c r="F111" s="10"/>
      <c r="K111" s="4"/>
    </row>
    <row r="112" spans="3:11" x14ac:dyDescent="0.2">
      <c r="C112" s="4"/>
      <c r="D112" s="1"/>
      <c r="F112" s="10"/>
      <c r="K112" s="4"/>
    </row>
    <row r="113" spans="3:11" x14ac:dyDescent="0.2">
      <c r="C113" s="4"/>
      <c r="D113" s="1"/>
      <c r="F113" s="10"/>
      <c r="K113" s="4"/>
    </row>
    <row r="114" spans="3:11" x14ac:dyDescent="0.2">
      <c r="C114" s="4"/>
      <c r="D114" s="1"/>
      <c r="F114" s="10"/>
      <c r="K114" s="4"/>
    </row>
    <row r="115" spans="3:11" x14ac:dyDescent="0.2">
      <c r="C115" s="4"/>
      <c r="D115" s="1"/>
      <c r="F115" s="10"/>
      <c r="K115" s="4"/>
    </row>
    <row r="116" spans="3:11" x14ac:dyDescent="0.2">
      <c r="C116" s="4"/>
      <c r="D116" s="1"/>
      <c r="F116" s="10"/>
      <c r="K116" s="4"/>
    </row>
    <row r="117" spans="3:11" x14ac:dyDescent="0.2">
      <c r="C117" s="4"/>
      <c r="D117" s="1"/>
      <c r="F117" s="10"/>
      <c r="K117" s="4"/>
    </row>
    <row r="118" spans="3:11" x14ac:dyDescent="0.2">
      <c r="C118" s="4"/>
      <c r="D118" s="1"/>
      <c r="F118" s="10"/>
      <c r="K118" s="4"/>
    </row>
    <row r="119" spans="3:11" x14ac:dyDescent="0.2">
      <c r="C119" s="4"/>
      <c r="D119" s="1"/>
      <c r="F119" s="10"/>
      <c r="K119" s="4"/>
    </row>
    <row r="120" spans="3:11" x14ac:dyDescent="0.2">
      <c r="C120" s="4"/>
      <c r="D120" s="1"/>
      <c r="F120" s="10"/>
      <c r="K120" s="4"/>
    </row>
    <row r="121" spans="3:11" x14ac:dyDescent="0.2">
      <c r="C121" s="4"/>
      <c r="D121" s="1"/>
      <c r="F121" s="10"/>
      <c r="K121" s="4"/>
    </row>
    <row r="122" spans="3:11" x14ac:dyDescent="0.2">
      <c r="C122" s="4"/>
      <c r="D122" s="1"/>
      <c r="F122" s="10"/>
      <c r="K122" s="4"/>
    </row>
    <row r="123" spans="3:11" x14ac:dyDescent="0.2">
      <c r="C123" s="4"/>
      <c r="D123" s="1"/>
      <c r="F123" s="10"/>
      <c r="K123" s="4"/>
    </row>
    <row r="124" spans="3:11" x14ac:dyDescent="0.2">
      <c r="C124" s="4"/>
      <c r="D124" s="1"/>
      <c r="F124" s="10"/>
      <c r="K124" s="4"/>
    </row>
    <row r="125" spans="3:11" x14ac:dyDescent="0.2">
      <c r="C125" s="4"/>
      <c r="D125" s="1"/>
      <c r="F125" s="10"/>
      <c r="K125" s="4"/>
    </row>
    <row r="126" spans="3:11" x14ac:dyDescent="0.2">
      <c r="C126" s="4"/>
      <c r="D126" s="1"/>
      <c r="F126" s="10"/>
      <c r="K126" s="4"/>
    </row>
    <row r="127" spans="3:11" x14ac:dyDescent="0.2">
      <c r="C127" s="4"/>
      <c r="D127" s="1"/>
      <c r="F127" s="10"/>
      <c r="K127" s="4"/>
    </row>
    <row r="128" spans="3:11" x14ac:dyDescent="0.2">
      <c r="C128" s="4"/>
      <c r="D128" s="1"/>
      <c r="F128" s="10"/>
      <c r="K128" s="4"/>
    </row>
    <row r="129" spans="3:11" x14ac:dyDescent="0.2">
      <c r="C129" s="4"/>
      <c r="D129" s="1"/>
      <c r="F129" s="10"/>
      <c r="K129" s="4"/>
    </row>
    <row r="130" spans="3:11" x14ac:dyDescent="0.2">
      <c r="C130" s="4"/>
      <c r="D130" s="1"/>
      <c r="F130" s="10"/>
      <c r="K130" s="4"/>
    </row>
    <row r="131" spans="3:11" x14ac:dyDescent="0.2">
      <c r="C131" s="4"/>
      <c r="D131" s="1"/>
      <c r="F131" s="10"/>
      <c r="K131" s="4"/>
    </row>
    <row r="132" spans="3:11" x14ac:dyDescent="0.2">
      <c r="C132" s="4"/>
      <c r="D132" s="1"/>
      <c r="F132" s="10"/>
      <c r="K132" s="4"/>
    </row>
    <row r="133" spans="3:11" x14ac:dyDescent="0.2">
      <c r="C133" s="4"/>
      <c r="D133" s="1"/>
      <c r="F133" s="10"/>
      <c r="K133" s="4"/>
    </row>
    <row r="134" spans="3:11" x14ac:dyDescent="0.2">
      <c r="C134" s="4"/>
      <c r="D134" s="1"/>
      <c r="F134" s="10"/>
      <c r="K134" s="4"/>
    </row>
    <row r="135" spans="3:11" x14ac:dyDescent="0.2">
      <c r="C135" s="4"/>
      <c r="D135" s="1"/>
      <c r="F135" s="10"/>
      <c r="K135" s="4"/>
    </row>
    <row r="136" spans="3:11" x14ac:dyDescent="0.2">
      <c r="C136" s="4"/>
      <c r="D136" s="1"/>
      <c r="F136" s="10"/>
      <c r="K136" s="4"/>
    </row>
    <row r="137" spans="3:11" x14ac:dyDescent="0.2">
      <c r="C137" s="4"/>
      <c r="D137" s="1"/>
      <c r="F137" s="10"/>
      <c r="K137" s="4"/>
    </row>
    <row r="138" spans="3:11" x14ac:dyDescent="0.2">
      <c r="C138" s="4"/>
      <c r="D138" s="1"/>
      <c r="F138" s="10"/>
      <c r="K138" s="4"/>
    </row>
    <row r="139" spans="3:11" x14ac:dyDescent="0.2">
      <c r="C139" s="4"/>
      <c r="D139" s="1"/>
      <c r="F139" s="10"/>
      <c r="K139" s="4"/>
    </row>
    <row r="140" spans="3:11" x14ac:dyDescent="0.2">
      <c r="C140" s="4"/>
      <c r="D140" s="1"/>
      <c r="F140" s="10"/>
      <c r="K140" s="4"/>
    </row>
    <row r="141" spans="3:11" x14ac:dyDescent="0.2">
      <c r="C141" s="4"/>
      <c r="D141" s="1"/>
      <c r="F141" s="10"/>
      <c r="K141" s="4"/>
    </row>
    <row r="142" spans="3:11" x14ac:dyDescent="0.2">
      <c r="C142" s="4"/>
      <c r="D142" s="1"/>
      <c r="F142" s="10"/>
      <c r="K142" s="4"/>
    </row>
    <row r="143" spans="3:11" x14ac:dyDescent="0.2">
      <c r="C143" s="4"/>
      <c r="D143" s="1"/>
      <c r="F143" s="10"/>
      <c r="K143" s="4"/>
    </row>
    <row r="144" spans="3:11" x14ac:dyDescent="0.2">
      <c r="C144" s="4"/>
      <c r="D144" s="1"/>
      <c r="F144" s="10"/>
      <c r="K144" s="4"/>
    </row>
    <row r="145" spans="3:11" x14ac:dyDescent="0.2">
      <c r="C145" s="4"/>
      <c r="D145" s="1"/>
      <c r="F145" s="10"/>
      <c r="K145" s="4"/>
    </row>
    <row r="146" spans="3:11" x14ac:dyDescent="0.2">
      <c r="C146" s="4"/>
      <c r="D146" s="1"/>
      <c r="F146" s="10"/>
      <c r="K146" s="4"/>
    </row>
    <row r="147" spans="3:11" x14ac:dyDescent="0.2">
      <c r="C147" s="4"/>
      <c r="D147" s="1"/>
      <c r="F147" s="10"/>
      <c r="K147" s="4"/>
    </row>
    <row r="148" spans="3:11" x14ac:dyDescent="0.2">
      <c r="C148" s="4"/>
      <c r="D148" s="1"/>
      <c r="F148" s="10"/>
      <c r="K148" s="4"/>
    </row>
    <row r="149" spans="3:11" x14ac:dyDescent="0.2">
      <c r="C149" s="4"/>
      <c r="D149" s="1"/>
      <c r="F149" s="10"/>
      <c r="K149" s="4"/>
    </row>
    <row r="150" spans="3:11" x14ac:dyDescent="0.2">
      <c r="C150" s="4"/>
      <c r="D150" s="1"/>
      <c r="F150" s="10"/>
      <c r="K150" s="4"/>
    </row>
    <row r="151" spans="3:11" x14ac:dyDescent="0.2">
      <c r="C151" s="4"/>
      <c r="D151" s="1"/>
      <c r="F151" s="10"/>
      <c r="K151" s="4"/>
    </row>
    <row r="152" spans="3:11" x14ac:dyDescent="0.2">
      <c r="C152" s="4"/>
      <c r="D152" s="1"/>
      <c r="F152" s="10"/>
      <c r="K152" s="4"/>
    </row>
    <row r="153" spans="3:11" x14ac:dyDescent="0.2">
      <c r="C153" s="4"/>
      <c r="D153" s="1"/>
      <c r="F153" s="10"/>
      <c r="K153" s="4"/>
    </row>
    <row r="154" spans="3:11" x14ac:dyDescent="0.2">
      <c r="C154" s="4"/>
      <c r="D154" s="1"/>
      <c r="F154" s="10"/>
      <c r="K154" s="4"/>
    </row>
    <row r="155" spans="3:11" x14ac:dyDescent="0.2">
      <c r="C155" s="4"/>
      <c r="D155" s="1"/>
      <c r="F155" s="10"/>
      <c r="K155" s="4"/>
    </row>
    <row r="156" spans="3:11" x14ac:dyDescent="0.2">
      <c r="C156" s="4"/>
      <c r="D156" s="1"/>
      <c r="F156" s="10"/>
      <c r="K156" s="4"/>
    </row>
    <row r="157" spans="3:11" x14ac:dyDescent="0.2">
      <c r="C157" s="4"/>
      <c r="D157" s="1"/>
      <c r="F157" s="10"/>
      <c r="K157" s="4"/>
    </row>
    <row r="158" spans="3:11" x14ac:dyDescent="0.2">
      <c r="C158" s="4"/>
      <c r="D158" s="1"/>
      <c r="F158" s="10"/>
      <c r="K158" s="4"/>
    </row>
    <row r="159" spans="3:11" x14ac:dyDescent="0.2">
      <c r="C159" s="4"/>
      <c r="D159" s="1"/>
      <c r="F159" s="10"/>
      <c r="K159" s="4"/>
    </row>
    <row r="160" spans="3:11" x14ac:dyDescent="0.2">
      <c r="C160" s="4"/>
      <c r="D160" s="1"/>
      <c r="F160" s="10"/>
      <c r="K160" s="4"/>
    </row>
    <row r="161" spans="3:11" x14ac:dyDescent="0.2">
      <c r="C161" s="4"/>
      <c r="D161" s="1"/>
      <c r="F161" s="10"/>
      <c r="K161" s="4"/>
    </row>
    <row r="162" spans="3:11" x14ac:dyDescent="0.2">
      <c r="C162" s="4"/>
      <c r="D162" s="1"/>
      <c r="F162" s="10"/>
      <c r="K162" s="4"/>
    </row>
    <row r="163" spans="3:11" x14ac:dyDescent="0.2">
      <c r="C163" s="4"/>
      <c r="D163" s="1"/>
      <c r="F163" s="10"/>
      <c r="K163" s="4"/>
    </row>
    <row r="164" spans="3:11" x14ac:dyDescent="0.2">
      <c r="C164" s="4"/>
      <c r="D164" s="1"/>
      <c r="F164" s="10"/>
      <c r="K164" s="4"/>
    </row>
    <row r="165" spans="3:11" x14ac:dyDescent="0.2">
      <c r="C165" s="4"/>
      <c r="D165" s="1"/>
      <c r="F165" s="10"/>
      <c r="K165" s="4"/>
    </row>
    <row r="166" spans="3:11" x14ac:dyDescent="0.2">
      <c r="C166" s="4"/>
      <c r="D166" s="1"/>
      <c r="F166" s="10"/>
      <c r="K166" s="4"/>
    </row>
    <row r="167" spans="3:11" x14ac:dyDescent="0.2">
      <c r="C167" s="4"/>
      <c r="D167" s="1"/>
      <c r="F167" s="10"/>
      <c r="K167" s="4"/>
    </row>
    <row r="168" spans="3:11" x14ac:dyDescent="0.2">
      <c r="C168" s="4"/>
      <c r="D168" s="1"/>
      <c r="F168" s="10"/>
      <c r="K168" s="4"/>
    </row>
    <row r="169" spans="3:11" x14ac:dyDescent="0.2">
      <c r="C169" s="4"/>
      <c r="D169" s="1"/>
      <c r="F169" s="10"/>
      <c r="K169" s="4"/>
    </row>
    <row r="170" spans="3:11" x14ac:dyDescent="0.2">
      <c r="C170" s="4"/>
      <c r="D170" s="1"/>
      <c r="F170" s="10"/>
      <c r="K170" s="4"/>
    </row>
    <row r="171" spans="3:11" x14ac:dyDescent="0.2">
      <c r="C171" s="4"/>
      <c r="D171" s="1"/>
      <c r="F171" s="10"/>
      <c r="K171" s="4"/>
    </row>
    <row r="172" spans="3:11" x14ac:dyDescent="0.2">
      <c r="C172" s="4"/>
      <c r="D172" s="1"/>
      <c r="F172" s="10"/>
      <c r="K172" s="4"/>
    </row>
    <row r="173" spans="3:11" x14ac:dyDescent="0.2">
      <c r="C173" s="4"/>
      <c r="D173" s="1"/>
      <c r="F173" s="10"/>
      <c r="K173" s="4"/>
    </row>
    <row r="174" spans="3:11" x14ac:dyDescent="0.2">
      <c r="C174" s="4"/>
      <c r="D174" s="1"/>
      <c r="F174" s="10"/>
      <c r="K174" s="4"/>
    </row>
    <row r="175" spans="3:11" x14ac:dyDescent="0.2">
      <c r="C175" s="4"/>
      <c r="D175" s="1"/>
      <c r="F175" s="10"/>
      <c r="K175" s="4"/>
    </row>
    <row r="176" spans="3:11" x14ac:dyDescent="0.2">
      <c r="C176" s="4"/>
      <c r="D176" s="1"/>
      <c r="F176" s="10"/>
      <c r="K176" s="4"/>
    </row>
    <row r="177" spans="3:11" x14ac:dyDescent="0.2">
      <c r="C177" s="4"/>
      <c r="D177" s="1"/>
      <c r="F177" s="10"/>
      <c r="K177" s="4"/>
    </row>
    <row r="178" spans="3:11" x14ac:dyDescent="0.2">
      <c r="C178" s="4"/>
      <c r="D178" s="1"/>
      <c r="F178" s="10"/>
      <c r="K178" s="4"/>
    </row>
    <row r="179" spans="3:11" x14ac:dyDescent="0.2">
      <c r="C179" s="4"/>
      <c r="D179" s="1"/>
      <c r="F179" s="10"/>
      <c r="K179" s="4"/>
    </row>
    <row r="180" spans="3:11" x14ac:dyDescent="0.2">
      <c r="C180" s="4"/>
      <c r="D180" s="1"/>
      <c r="F180" s="10"/>
      <c r="K180" s="4"/>
    </row>
    <row r="181" spans="3:11" x14ac:dyDescent="0.2">
      <c r="C181" s="4"/>
      <c r="D181" s="1"/>
      <c r="F181" s="10"/>
      <c r="K181" s="4"/>
    </row>
    <row r="182" spans="3:11" x14ac:dyDescent="0.2">
      <c r="C182" s="4"/>
      <c r="D182" s="1"/>
      <c r="F182" s="10"/>
      <c r="K182" s="4"/>
    </row>
    <row r="183" spans="3:11" x14ac:dyDescent="0.2">
      <c r="C183" s="4"/>
      <c r="D183" s="1"/>
      <c r="F183" s="10"/>
      <c r="K183" s="4"/>
    </row>
    <row r="184" spans="3:11" x14ac:dyDescent="0.2">
      <c r="C184" s="4"/>
      <c r="D184" s="1"/>
      <c r="F184" s="10"/>
      <c r="K184" s="4"/>
    </row>
    <row r="185" spans="3:11" x14ac:dyDescent="0.2">
      <c r="C185" s="4"/>
      <c r="D185" s="1"/>
      <c r="F185" s="10"/>
      <c r="K185" s="4"/>
    </row>
    <row r="186" spans="3:11" x14ac:dyDescent="0.2">
      <c r="C186" s="4"/>
      <c r="D186" s="1"/>
      <c r="F186" s="10"/>
      <c r="K186" s="4"/>
    </row>
    <row r="187" spans="3:11" x14ac:dyDescent="0.2">
      <c r="C187" s="4"/>
      <c r="D187" s="1"/>
      <c r="F187" s="10"/>
      <c r="K187" s="4"/>
    </row>
    <row r="188" spans="3:11" x14ac:dyDescent="0.2">
      <c r="C188" s="4"/>
      <c r="D188" s="1"/>
      <c r="F188" s="10"/>
      <c r="K188" s="4"/>
    </row>
    <row r="189" spans="3:11" x14ac:dyDescent="0.2">
      <c r="C189" s="4"/>
      <c r="D189" s="1"/>
      <c r="F189" s="10"/>
      <c r="K189" s="4"/>
    </row>
    <row r="190" spans="3:11" x14ac:dyDescent="0.2">
      <c r="C190" s="4"/>
      <c r="D190" s="1"/>
      <c r="F190" s="10"/>
      <c r="K190" s="4"/>
    </row>
    <row r="191" spans="3:11" x14ac:dyDescent="0.2">
      <c r="C191" s="4"/>
      <c r="D191" s="1"/>
      <c r="F191" s="10"/>
      <c r="K191" s="4"/>
    </row>
    <row r="192" spans="3:11" x14ac:dyDescent="0.2">
      <c r="C192" s="4"/>
      <c r="D192" s="1"/>
      <c r="F192" s="10"/>
      <c r="K192" s="4"/>
    </row>
    <row r="193" spans="3:11" x14ac:dyDescent="0.2">
      <c r="C193" s="4"/>
      <c r="D193" s="1"/>
      <c r="F193" s="10"/>
      <c r="K193" s="4"/>
    </row>
    <row r="194" spans="3:11" x14ac:dyDescent="0.2">
      <c r="C194" s="4"/>
      <c r="D194" s="1"/>
      <c r="F194" s="10"/>
      <c r="K194" s="4"/>
    </row>
    <row r="195" spans="3:11" x14ac:dyDescent="0.2">
      <c r="C195" s="4"/>
      <c r="D195" s="1"/>
      <c r="F195" s="10"/>
      <c r="K195" s="4"/>
    </row>
    <row r="196" spans="3:11" x14ac:dyDescent="0.2">
      <c r="C196" s="4"/>
      <c r="D196" s="1"/>
      <c r="F196" s="10"/>
      <c r="K196" s="4"/>
    </row>
    <row r="197" spans="3:11" x14ac:dyDescent="0.2">
      <c r="C197" s="4"/>
      <c r="D197" s="1"/>
      <c r="F197" s="10"/>
      <c r="K197" s="4"/>
    </row>
    <row r="198" spans="3:11" x14ac:dyDescent="0.2">
      <c r="C198" s="4"/>
      <c r="D198" s="1"/>
      <c r="F198" s="10"/>
      <c r="K198" s="4"/>
    </row>
    <row r="199" spans="3:11" x14ac:dyDescent="0.2">
      <c r="C199" s="4"/>
      <c r="D199" s="1"/>
      <c r="F199" s="10"/>
      <c r="K199" s="4"/>
    </row>
    <row r="200" spans="3:11" x14ac:dyDescent="0.2">
      <c r="C200" s="4"/>
      <c r="D200" s="1"/>
      <c r="F200" s="10"/>
      <c r="K200" s="4"/>
    </row>
    <row r="201" spans="3:11" x14ac:dyDescent="0.2">
      <c r="C201" s="4"/>
      <c r="D201" s="1"/>
      <c r="F201" s="10"/>
      <c r="K201" s="4"/>
    </row>
    <row r="202" spans="3:11" x14ac:dyDescent="0.2">
      <c r="C202" s="4"/>
      <c r="D202" s="1"/>
      <c r="F202" s="10"/>
      <c r="K202" s="4"/>
    </row>
    <row r="203" spans="3:11" x14ac:dyDescent="0.2">
      <c r="C203" s="4"/>
      <c r="D203" s="1"/>
      <c r="F203" s="10"/>
      <c r="K203" s="4"/>
    </row>
    <row r="204" spans="3:11" x14ac:dyDescent="0.2">
      <c r="C204" s="4"/>
      <c r="D204" s="1"/>
      <c r="F204" s="10"/>
      <c r="K204" s="4"/>
    </row>
    <row r="205" spans="3:11" x14ac:dyDescent="0.2">
      <c r="C205" s="4"/>
      <c r="D205" s="1"/>
      <c r="F205" s="10"/>
      <c r="K205" s="4"/>
    </row>
    <row r="206" spans="3:11" x14ac:dyDescent="0.2">
      <c r="C206" s="4"/>
      <c r="D206" s="1"/>
      <c r="F206" s="10"/>
      <c r="K206" s="4"/>
    </row>
    <row r="207" spans="3:11" x14ac:dyDescent="0.2">
      <c r="C207" s="4"/>
      <c r="D207" s="1"/>
      <c r="F207" s="10"/>
      <c r="K207" s="4"/>
    </row>
    <row r="208" spans="3:11" x14ac:dyDescent="0.2">
      <c r="C208" s="4"/>
      <c r="D208" s="1"/>
      <c r="F208" s="10"/>
      <c r="K208" s="4"/>
    </row>
    <row r="209" spans="3:11" x14ac:dyDescent="0.2">
      <c r="C209" s="4"/>
      <c r="D209" s="1"/>
      <c r="F209" s="10"/>
      <c r="K209" s="4"/>
    </row>
    <row r="210" spans="3:11" x14ac:dyDescent="0.2">
      <c r="C210" s="4"/>
      <c r="D210" s="1"/>
      <c r="F210" s="10"/>
      <c r="K210" s="4"/>
    </row>
    <row r="211" spans="3:11" x14ac:dyDescent="0.2">
      <c r="C211" s="4"/>
      <c r="D211" s="1"/>
      <c r="F211" s="10"/>
      <c r="K211" s="4"/>
    </row>
    <row r="212" spans="3:11" x14ac:dyDescent="0.2">
      <c r="C212" s="4"/>
      <c r="D212" s="1"/>
      <c r="F212" s="10"/>
      <c r="K212" s="4"/>
    </row>
    <row r="213" spans="3:11" x14ac:dyDescent="0.2">
      <c r="C213" s="4"/>
      <c r="D213" s="1"/>
      <c r="F213" s="10"/>
      <c r="K213" s="4"/>
    </row>
    <row r="214" spans="3:11" x14ac:dyDescent="0.2">
      <c r="C214" s="4"/>
      <c r="D214" s="1"/>
      <c r="F214" s="10"/>
      <c r="K214" s="4"/>
    </row>
    <row r="215" spans="3:11" x14ac:dyDescent="0.2">
      <c r="C215" s="4"/>
      <c r="D215" s="1"/>
      <c r="F215" s="10"/>
      <c r="K215" s="4"/>
    </row>
    <row r="216" spans="3:11" x14ac:dyDescent="0.2">
      <c r="C216" s="4"/>
      <c r="D216" s="1"/>
      <c r="F216" s="10"/>
      <c r="K216" s="4"/>
    </row>
    <row r="217" spans="3:11" x14ac:dyDescent="0.2">
      <c r="C217" s="4"/>
      <c r="D217" s="1"/>
      <c r="F217" s="10"/>
      <c r="K217" s="4"/>
    </row>
    <row r="218" spans="3:11" x14ac:dyDescent="0.2">
      <c r="C218" s="4"/>
      <c r="D218" s="1"/>
      <c r="F218" s="10"/>
      <c r="K218" s="4"/>
    </row>
    <row r="219" spans="3:11" x14ac:dyDescent="0.2">
      <c r="C219" s="4"/>
      <c r="D219" s="1"/>
      <c r="F219" s="10"/>
      <c r="K219" s="4"/>
    </row>
    <row r="220" spans="3:11" x14ac:dyDescent="0.2">
      <c r="C220" s="4"/>
      <c r="D220" s="1"/>
      <c r="F220" s="10"/>
      <c r="K220" s="4"/>
    </row>
    <row r="221" spans="3:11" x14ac:dyDescent="0.2">
      <c r="C221" s="4"/>
      <c r="D221" s="1"/>
      <c r="F221" s="10"/>
      <c r="K221" s="4"/>
    </row>
    <row r="222" spans="3:11" x14ac:dyDescent="0.2">
      <c r="C222" s="4"/>
      <c r="D222" s="1"/>
      <c r="F222" s="10"/>
      <c r="K222" s="4"/>
    </row>
    <row r="223" spans="3:11" x14ac:dyDescent="0.2">
      <c r="C223" s="4"/>
      <c r="D223" s="1"/>
      <c r="F223" s="10"/>
      <c r="K223" s="4"/>
    </row>
    <row r="224" spans="3:11" x14ac:dyDescent="0.2">
      <c r="C224" s="4"/>
      <c r="D224" s="1"/>
      <c r="F224" s="10"/>
      <c r="K224" s="4"/>
    </row>
    <row r="225" spans="3:11" x14ac:dyDescent="0.2">
      <c r="C225" s="4"/>
      <c r="D225" s="1"/>
      <c r="F225" s="10"/>
      <c r="K225" s="4"/>
    </row>
    <row r="226" spans="3:11" x14ac:dyDescent="0.2">
      <c r="C226" s="4"/>
      <c r="D226" s="1"/>
      <c r="F226" s="10"/>
      <c r="K226" s="4"/>
    </row>
    <row r="227" spans="3:11" x14ac:dyDescent="0.2">
      <c r="C227" s="4"/>
      <c r="D227" s="1"/>
      <c r="F227" s="10"/>
      <c r="K227" s="4"/>
    </row>
    <row r="228" spans="3:11" x14ac:dyDescent="0.2">
      <c r="C228" s="4"/>
      <c r="D228" s="1"/>
      <c r="F228" s="10"/>
      <c r="K228" s="4"/>
    </row>
    <row r="229" spans="3:11" x14ac:dyDescent="0.2">
      <c r="C229" s="4"/>
      <c r="D229" s="1"/>
      <c r="F229" s="10"/>
      <c r="K229" s="4"/>
    </row>
    <row r="230" spans="3:11" x14ac:dyDescent="0.2">
      <c r="C230" s="4"/>
      <c r="D230" s="1"/>
      <c r="F230" s="10"/>
      <c r="K230" s="4"/>
    </row>
    <row r="231" spans="3:11" x14ac:dyDescent="0.2">
      <c r="C231" s="4"/>
      <c r="D231" s="1"/>
      <c r="F231" s="10"/>
      <c r="K231" s="4"/>
    </row>
    <row r="232" spans="3:11" x14ac:dyDescent="0.2">
      <c r="C232" s="4"/>
      <c r="D232" s="1"/>
      <c r="F232" s="10"/>
      <c r="K232" s="4"/>
    </row>
    <row r="233" spans="3:11" x14ac:dyDescent="0.2">
      <c r="C233" s="4"/>
      <c r="D233" s="1"/>
      <c r="F233" s="10"/>
      <c r="K233" s="4"/>
    </row>
    <row r="234" spans="3:11" x14ac:dyDescent="0.2">
      <c r="C234" s="4"/>
      <c r="D234" s="1"/>
      <c r="F234" s="10"/>
      <c r="K234" s="4"/>
    </row>
    <row r="235" spans="3:11" x14ac:dyDescent="0.2">
      <c r="C235" s="4"/>
      <c r="D235" s="1"/>
      <c r="F235" s="10"/>
      <c r="K235" s="4"/>
    </row>
    <row r="236" spans="3:11" x14ac:dyDescent="0.2">
      <c r="C236" s="4"/>
      <c r="D236" s="1"/>
      <c r="F236" s="10"/>
      <c r="K236" s="4"/>
    </row>
    <row r="237" spans="3:11" x14ac:dyDescent="0.2">
      <c r="C237" s="4"/>
      <c r="D237" s="1"/>
      <c r="F237" s="10"/>
      <c r="K237" s="4"/>
    </row>
    <row r="238" spans="3:11" x14ac:dyDescent="0.2">
      <c r="C238" s="4"/>
      <c r="D238" s="1"/>
      <c r="F238" s="10"/>
      <c r="K238" s="4"/>
    </row>
    <row r="239" spans="3:11" x14ac:dyDescent="0.2">
      <c r="C239" s="4"/>
      <c r="D239" s="1"/>
      <c r="F239" s="10"/>
      <c r="K239" s="4"/>
    </row>
    <row r="240" spans="3:11" x14ac:dyDescent="0.2">
      <c r="C240" s="4"/>
      <c r="D240" s="1"/>
      <c r="F240" s="10"/>
      <c r="K240" s="4"/>
    </row>
    <row r="241" spans="3:11" x14ac:dyDescent="0.2">
      <c r="C241" s="4"/>
      <c r="D241" s="1"/>
      <c r="F241" s="10"/>
      <c r="K241" s="4"/>
    </row>
    <row r="242" spans="3:11" x14ac:dyDescent="0.2">
      <c r="C242" s="4"/>
      <c r="D242" s="1"/>
      <c r="F242" s="10"/>
      <c r="K242" s="4"/>
    </row>
    <row r="243" spans="3:11" x14ac:dyDescent="0.2">
      <c r="C243" s="4"/>
      <c r="D243" s="1"/>
      <c r="F243" s="10"/>
      <c r="K243" s="4"/>
    </row>
    <row r="244" spans="3:11" x14ac:dyDescent="0.2">
      <c r="C244" s="4"/>
      <c r="D244" s="1"/>
      <c r="F244" s="10"/>
      <c r="K244" s="4"/>
    </row>
    <row r="245" spans="3:11" x14ac:dyDescent="0.2">
      <c r="C245" s="4"/>
      <c r="D245" s="1"/>
      <c r="F245" s="10"/>
      <c r="K245" s="4"/>
    </row>
    <row r="246" spans="3:11" x14ac:dyDescent="0.2">
      <c r="C246" s="4"/>
      <c r="D246" s="1"/>
      <c r="F246" s="10"/>
      <c r="K246" s="4"/>
    </row>
    <row r="247" spans="3:11" x14ac:dyDescent="0.2">
      <c r="C247" s="4"/>
      <c r="D247" s="1"/>
      <c r="F247" s="10"/>
      <c r="K247" s="4"/>
    </row>
    <row r="248" spans="3:11" x14ac:dyDescent="0.2">
      <c r="C248" s="4"/>
      <c r="D248" s="1"/>
      <c r="F248" s="10"/>
      <c r="K248" s="4"/>
    </row>
    <row r="249" spans="3:11" x14ac:dyDescent="0.2">
      <c r="C249" s="4"/>
      <c r="D249" s="1"/>
      <c r="F249" s="10"/>
      <c r="K249" s="4"/>
    </row>
    <row r="250" spans="3:11" x14ac:dyDescent="0.2">
      <c r="C250" s="4"/>
      <c r="D250" s="1"/>
      <c r="F250" s="10"/>
      <c r="K250" s="4"/>
    </row>
    <row r="251" spans="3:11" x14ac:dyDescent="0.2">
      <c r="C251" s="4"/>
      <c r="D251" s="1"/>
      <c r="F251" s="10"/>
      <c r="K251" s="4"/>
    </row>
    <row r="252" spans="3:11" x14ac:dyDescent="0.2">
      <c r="C252" s="4"/>
      <c r="D252" s="1"/>
      <c r="F252" s="10"/>
      <c r="K252" s="4"/>
    </row>
    <row r="253" spans="3:11" x14ac:dyDescent="0.2">
      <c r="C253" s="4"/>
      <c r="D253" s="1"/>
      <c r="F253" s="10"/>
      <c r="K253" s="4"/>
    </row>
    <row r="254" spans="3:11" x14ac:dyDescent="0.2">
      <c r="C254" s="4"/>
      <c r="D254" s="1"/>
      <c r="F254" s="10"/>
      <c r="K254" s="4"/>
    </row>
    <row r="255" spans="3:11" x14ac:dyDescent="0.2">
      <c r="C255" s="4"/>
      <c r="D255" s="1"/>
      <c r="F255" s="10"/>
      <c r="K255" s="4"/>
    </row>
    <row r="256" spans="3:11" x14ac:dyDescent="0.2">
      <c r="C256" s="4"/>
      <c r="D256" s="1"/>
      <c r="F256" s="10"/>
      <c r="K256" s="4"/>
    </row>
    <row r="257" spans="3:11" x14ac:dyDescent="0.2">
      <c r="C257" s="4"/>
      <c r="D257" s="1"/>
      <c r="F257" s="10"/>
      <c r="K257" s="4"/>
    </row>
    <row r="258" spans="3:11" x14ac:dyDescent="0.2">
      <c r="C258" s="4"/>
      <c r="D258" s="1"/>
      <c r="F258" s="10"/>
      <c r="K258" s="4"/>
    </row>
    <row r="259" spans="3:11" x14ac:dyDescent="0.2">
      <c r="C259" s="4"/>
      <c r="D259" s="1"/>
      <c r="F259" s="10"/>
      <c r="K259" s="4"/>
    </row>
    <row r="260" spans="3:11" x14ac:dyDescent="0.2">
      <c r="C260" s="4"/>
      <c r="D260" s="1"/>
      <c r="F260" s="10"/>
      <c r="K260" s="4"/>
    </row>
    <row r="261" spans="3:11" x14ac:dyDescent="0.2">
      <c r="C261" s="4"/>
      <c r="D261" s="1"/>
      <c r="F261" s="10"/>
      <c r="K261" s="4"/>
    </row>
    <row r="262" spans="3:11" x14ac:dyDescent="0.2">
      <c r="C262" s="4"/>
      <c r="D262" s="1"/>
      <c r="F262" s="10"/>
      <c r="K262" s="4"/>
    </row>
    <row r="263" spans="3:11" x14ac:dyDescent="0.2">
      <c r="C263" s="4"/>
      <c r="D263" s="1"/>
      <c r="F263" s="10"/>
      <c r="K263" s="4"/>
    </row>
    <row r="264" spans="3:11" x14ac:dyDescent="0.2">
      <c r="C264" s="4"/>
      <c r="D264" s="1"/>
      <c r="F264" s="10"/>
      <c r="K264" s="4"/>
    </row>
    <row r="265" spans="3:11" x14ac:dyDescent="0.2">
      <c r="C265" s="4"/>
      <c r="D265" s="1"/>
      <c r="F265" s="10"/>
      <c r="K265" s="4"/>
    </row>
    <row r="266" spans="3:11" x14ac:dyDescent="0.2">
      <c r="C266" s="4"/>
      <c r="D266" s="1"/>
      <c r="F266" s="10"/>
      <c r="K266" s="4"/>
    </row>
    <row r="267" spans="3:11" x14ac:dyDescent="0.2">
      <c r="C267" s="4"/>
      <c r="D267" s="1"/>
      <c r="F267" s="10"/>
      <c r="K267" s="4"/>
    </row>
    <row r="268" spans="3:11" x14ac:dyDescent="0.2">
      <c r="C268" s="4"/>
      <c r="D268" s="1"/>
      <c r="F268" s="10"/>
      <c r="K268" s="4"/>
    </row>
    <row r="269" spans="3:11" x14ac:dyDescent="0.2">
      <c r="C269" s="4"/>
      <c r="D269" s="1"/>
      <c r="F269" s="10"/>
      <c r="K269" s="4"/>
    </row>
    <row r="270" spans="3:11" x14ac:dyDescent="0.2">
      <c r="C270" s="4"/>
      <c r="D270" s="1"/>
      <c r="F270" s="10"/>
      <c r="K270" s="4"/>
    </row>
    <row r="271" spans="3:11" x14ac:dyDescent="0.2">
      <c r="C271" s="4"/>
      <c r="D271" s="1"/>
      <c r="F271" s="10"/>
      <c r="K271" s="4"/>
    </row>
    <row r="272" spans="3:11" x14ac:dyDescent="0.2">
      <c r="C272" s="4"/>
      <c r="D272" s="1"/>
      <c r="F272" s="10"/>
    </row>
    <row r="273" spans="3:6" x14ac:dyDescent="0.2">
      <c r="C273" s="4"/>
      <c r="D273" s="1"/>
      <c r="F273" s="10"/>
    </row>
    <row r="274" spans="3:6" x14ac:dyDescent="0.2">
      <c r="C274" s="4"/>
      <c r="D274" s="1"/>
      <c r="F274" s="10"/>
    </row>
    <row r="275" spans="3:6" x14ac:dyDescent="0.2">
      <c r="C275" s="4"/>
      <c r="D275" s="1"/>
      <c r="F275" s="10"/>
    </row>
    <row r="276" spans="3:6" x14ac:dyDescent="0.2">
      <c r="C276" s="4"/>
      <c r="D276" s="1"/>
      <c r="F276" s="10"/>
    </row>
    <row r="277" spans="3:6" x14ac:dyDescent="0.2">
      <c r="C277" s="4"/>
      <c r="D277" s="1"/>
      <c r="F277" s="10"/>
    </row>
    <row r="278" spans="3:6" x14ac:dyDescent="0.2">
      <c r="C278" s="4"/>
      <c r="D278" s="1"/>
      <c r="F278" s="10"/>
    </row>
    <row r="279" spans="3:6" x14ac:dyDescent="0.2">
      <c r="C279" s="4"/>
      <c r="D279" s="1"/>
      <c r="F279" s="10"/>
    </row>
    <row r="280" spans="3:6" x14ac:dyDescent="0.2">
      <c r="C280" s="4"/>
      <c r="D280" s="1"/>
      <c r="F280" s="10"/>
    </row>
    <row r="281" spans="3:6" x14ac:dyDescent="0.2">
      <c r="C281" s="4"/>
      <c r="D281" s="1"/>
      <c r="F281" s="10"/>
    </row>
    <row r="282" spans="3:6" x14ac:dyDescent="0.2">
      <c r="C282" s="4"/>
      <c r="D282" s="1"/>
      <c r="F282" s="10"/>
    </row>
    <row r="283" spans="3:6" x14ac:dyDescent="0.2">
      <c r="C283" s="4"/>
      <c r="D283" s="1"/>
      <c r="F283" s="10"/>
    </row>
    <row r="284" spans="3:6" x14ac:dyDescent="0.2">
      <c r="C284" s="4"/>
      <c r="D284" s="1"/>
      <c r="F284" s="10"/>
    </row>
    <row r="285" spans="3:6" x14ac:dyDescent="0.2">
      <c r="C285" s="4"/>
      <c r="D285" s="1"/>
      <c r="F285" s="10"/>
    </row>
    <row r="286" spans="3:6" x14ac:dyDescent="0.2">
      <c r="C286" s="4"/>
      <c r="D286" s="1"/>
      <c r="F286" s="10"/>
    </row>
    <row r="287" spans="3:6" x14ac:dyDescent="0.2">
      <c r="C287" s="4"/>
      <c r="D287" s="1"/>
      <c r="F287" s="10"/>
    </row>
  </sheetData>
  <mergeCells count="4">
    <mergeCell ref="J1:K1"/>
    <mergeCell ref="J2:K2"/>
    <mergeCell ref="B3:H3"/>
    <mergeCell ref="J3:L3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530B-7474-C341-84B6-A013F6663215}">
  <dimension ref="A1:O301"/>
  <sheetViews>
    <sheetView topLeftCell="A18" zoomScale="145" zoomScaleNormal="145" workbookViewId="0">
      <selection activeCell="G36" sqref="G36"/>
    </sheetView>
  </sheetViews>
  <sheetFormatPr baseColWidth="10" defaultColWidth="11.1640625" defaultRowHeight="16" x14ac:dyDescent="0.2"/>
  <cols>
    <col min="1" max="1" width="7.1640625" style="13" customWidth="1"/>
    <col min="2" max="2" width="16.5" customWidth="1"/>
    <col min="3" max="3" width="10.83203125" customWidth="1"/>
    <col min="4" max="4" width="14.1640625" customWidth="1"/>
    <col min="5" max="6" width="15.83203125" customWidth="1"/>
    <col min="7" max="7" width="12.33203125" style="7" customWidth="1"/>
    <col min="8" max="8" width="13.33203125" style="6" customWidth="1"/>
    <col min="9" max="9" width="6" style="13" customWidth="1"/>
    <col min="10" max="10" width="25.1640625" customWidth="1"/>
    <col min="11" max="11" width="11" bestFit="1" customWidth="1"/>
    <col min="12" max="12" width="13.1640625" customWidth="1"/>
    <col min="13" max="13" width="10.83203125" style="13"/>
  </cols>
  <sheetData>
    <row r="1" spans="2:15" s="11" customFormat="1" ht="14" customHeight="1" x14ac:dyDescent="0.2">
      <c r="B1" s="14">
        <v>549.94000000000005</v>
      </c>
      <c r="C1" s="14" t="s">
        <v>7</v>
      </c>
      <c r="D1" s="14" t="s">
        <v>8</v>
      </c>
      <c r="E1" s="14" t="s">
        <v>9</v>
      </c>
      <c r="F1" s="15"/>
      <c r="G1" s="16"/>
      <c r="H1" s="17"/>
      <c r="J1" s="37" t="s">
        <v>12</v>
      </c>
      <c r="K1" s="37"/>
    </row>
    <row r="2" spans="2:15" s="12" customFormat="1" ht="33" customHeight="1" thickBot="1" x14ac:dyDescent="0.25">
      <c r="B2" s="18">
        <v>200000</v>
      </c>
      <c r="C2" s="19">
        <f>SUM(Tabela3[Saldo Devedor])</f>
        <v>96438.2</v>
      </c>
      <c r="D2" s="20">
        <f>IFERROR(C2/B2,0)</f>
        <v>0.48219099999999998</v>
      </c>
      <c r="E2" s="21">
        <f>B2-C2</f>
        <v>103561.8</v>
      </c>
      <c r="F2" s="19"/>
      <c r="G2" s="22"/>
      <c r="H2" s="23"/>
      <c r="J2" s="38">
        <f>SUM(Tabela32[Valor Pagamento])</f>
        <v>148232.50000000003</v>
      </c>
      <c r="K2" s="39"/>
    </row>
    <row r="3" spans="2:15" ht="33" customHeight="1" thickBot="1" x14ac:dyDescent="0.25">
      <c r="B3" s="34" t="s">
        <v>14</v>
      </c>
      <c r="C3" s="35"/>
      <c r="D3" s="35"/>
      <c r="E3" s="35"/>
      <c r="F3" s="35"/>
      <c r="G3" s="35"/>
      <c r="H3" s="36"/>
      <c r="J3" s="34" t="s">
        <v>15</v>
      </c>
      <c r="K3" s="35"/>
      <c r="L3" s="35"/>
    </row>
    <row r="4" spans="2:15" ht="37" customHeight="1" x14ac:dyDescent="0.2">
      <c r="B4" s="5" t="s">
        <v>4</v>
      </c>
      <c r="C4" s="2" t="s">
        <v>0</v>
      </c>
      <c r="D4" s="5" t="s">
        <v>10</v>
      </c>
      <c r="E4" s="2" t="s">
        <v>2</v>
      </c>
      <c r="F4" s="2" t="s">
        <v>3</v>
      </c>
      <c r="G4" s="9" t="s">
        <v>5</v>
      </c>
      <c r="H4" s="2" t="s">
        <v>1</v>
      </c>
      <c r="J4" s="5" t="s">
        <v>4</v>
      </c>
      <c r="K4" s="5" t="s">
        <v>11</v>
      </c>
      <c r="L4" s="5" t="s">
        <v>13</v>
      </c>
    </row>
    <row r="5" spans="2:15" x14ac:dyDescent="0.2">
      <c r="B5" t="s">
        <v>16</v>
      </c>
      <c r="C5" s="3">
        <v>45559</v>
      </c>
      <c r="D5" s="1">
        <f>20000+4200</f>
        <v>24200</v>
      </c>
      <c r="E5" s="1">
        <f>Tabela3[[#This Row],[Valor Originário]]-L24</f>
        <v>0</v>
      </c>
      <c r="F5" s="10">
        <f>Tabela3[[#This Row],[Saldo Devedor]]*2%</f>
        <v>0</v>
      </c>
      <c r="G5" s="8" t="s">
        <v>6</v>
      </c>
      <c r="H5" s="6">
        <v>24</v>
      </c>
      <c r="J5" t="s">
        <v>20</v>
      </c>
      <c r="K5" s="3">
        <v>45593</v>
      </c>
      <c r="L5" s="1">
        <v>1000</v>
      </c>
    </row>
    <row r="6" spans="2:15" x14ac:dyDescent="0.2">
      <c r="B6" t="s">
        <v>17</v>
      </c>
      <c r="C6" s="3">
        <v>45569</v>
      </c>
      <c r="D6" s="1">
        <v>1000</v>
      </c>
      <c r="E6" s="1">
        <f>Tabela3[[#This Row],[Valor Originário]]-Tabela32[[#This Row],[Valor Pagamento]]</f>
        <v>0</v>
      </c>
      <c r="F6" s="10">
        <f>Tabela3[[#This Row],[Saldo Devedor]]*2%</f>
        <v>0</v>
      </c>
      <c r="G6" s="8" t="s">
        <v>6</v>
      </c>
      <c r="J6" t="s">
        <v>17</v>
      </c>
      <c r="K6" s="3">
        <v>45593</v>
      </c>
      <c r="L6" s="1">
        <v>1000</v>
      </c>
    </row>
    <row r="7" spans="2:15" x14ac:dyDescent="0.2">
      <c r="B7" t="s">
        <v>18</v>
      </c>
      <c r="C7" s="3">
        <v>45573</v>
      </c>
      <c r="D7" s="1">
        <v>644.75</v>
      </c>
      <c r="E7" s="1">
        <f>Tabela3[[#This Row],[Valor Originário]]-Tabela32[[#This Row],[Valor Pagamento]]</f>
        <v>0</v>
      </c>
      <c r="F7" s="10">
        <f>Tabela3[[#This Row],[Saldo Devedor]]*2%</f>
        <v>0</v>
      </c>
      <c r="G7" s="8" t="s">
        <v>6</v>
      </c>
      <c r="J7" t="s">
        <v>18</v>
      </c>
      <c r="K7" s="4">
        <v>45593</v>
      </c>
      <c r="L7" s="1">
        <v>644.75</v>
      </c>
    </row>
    <row r="8" spans="2:15" x14ac:dyDescent="0.2">
      <c r="B8" t="s">
        <v>19</v>
      </c>
      <c r="C8" s="4">
        <v>45585</v>
      </c>
      <c r="D8" s="1">
        <v>4736.05</v>
      </c>
      <c r="E8" s="1">
        <f>Tabela3[[#This Row],[Valor Originário]]-L23</f>
        <v>0</v>
      </c>
      <c r="F8" s="10">
        <f>Tabela3[[#This Row],[Saldo Devedor]]*2%</f>
        <v>0</v>
      </c>
      <c r="G8" s="8" t="s">
        <v>6</v>
      </c>
      <c r="H8" s="6">
        <v>20</v>
      </c>
      <c r="J8" t="s">
        <v>24</v>
      </c>
      <c r="K8" s="4"/>
      <c r="L8" s="1">
        <v>7023.55</v>
      </c>
    </row>
    <row r="9" spans="2:15" x14ac:dyDescent="0.2">
      <c r="B9" t="s">
        <v>20</v>
      </c>
      <c r="C9" s="4"/>
      <c r="D9" s="1">
        <v>12384</v>
      </c>
      <c r="E9" s="1">
        <f>12384-L5-Tabela32[[#This Row],[Valor Pagamento]]-L14-L22</f>
        <v>0</v>
      </c>
      <c r="F9" s="10">
        <v>0</v>
      </c>
      <c r="G9" s="25" t="s">
        <v>21</v>
      </c>
      <c r="H9" s="6">
        <v>25</v>
      </c>
      <c r="J9" t="s">
        <v>20</v>
      </c>
      <c r="K9" s="4">
        <v>45652</v>
      </c>
      <c r="L9" s="1">
        <v>2000</v>
      </c>
    </row>
    <row r="10" spans="2:15" x14ac:dyDescent="0.2">
      <c r="B10" t="s">
        <v>22</v>
      </c>
      <c r="C10" s="3">
        <v>45600</v>
      </c>
      <c r="D10" s="1">
        <v>2500</v>
      </c>
      <c r="E10" s="1">
        <f>2500-Tabela32[[#This Row],[Valor Pagamento]]-L11</f>
        <v>0</v>
      </c>
      <c r="F10" s="10">
        <f>Tabela3[[#This Row],[Saldo Devedor]]*2%</f>
        <v>0</v>
      </c>
      <c r="G10" s="8" t="s">
        <v>6</v>
      </c>
      <c r="J10" t="s">
        <v>22</v>
      </c>
      <c r="K10" s="3">
        <v>45658</v>
      </c>
      <c r="L10" s="1">
        <v>2000</v>
      </c>
    </row>
    <row r="11" spans="2:15" x14ac:dyDescent="0.2">
      <c r="B11" t="s">
        <v>23</v>
      </c>
      <c r="C11" s="4">
        <v>45516</v>
      </c>
      <c r="D11" s="1">
        <v>13724.9</v>
      </c>
      <c r="E11" s="1">
        <v>0</v>
      </c>
      <c r="F11" s="10"/>
      <c r="G11" s="8"/>
      <c r="J11" t="s">
        <v>22</v>
      </c>
      <c r="K11" s="4">
        <v>45685</v>
      </c>
      <c r="L11" s="1">
        <v>500</v>
      </c>
    </row>
    <row r="12" spans="2:15" x14ac:dyDescent="0.2">
      <c r="B12" t="s">
        <v>25</v>
      </c>
      <c r="C12" s="4">
        <v>45616</v>
      </c>
      <c r="D12" s="1">
        <f>5802.65+500</f>
        <v>6302.65</v>
      </c>
      <c r="E12" s="1">
        <f>Tabela3[[#This Row],[Valor Originário]]-L20</f>
        <v>0</v>
      </c>
      <c r="F12" s="10">
        <f>Tabela3[[#This Row],[Saldo Devedor]]*2%</f>
        <v>0</v>
      </c>
      <c r="G12" s="8" t="s">
        <v>6</v>
      </c>
      <c r="H12" s="6">
        <v>20</v>
      </c>
      <c r="J12" t="s">
        <v>24</v>
      </c>
      <c r="K12" s="4">
        <v>45665</v>
      </c>
      <c r="L12" s="1">
        <v>1242.1099999999999</v>
      </c>
    </row>
    <row r="13" spans="2:15" x14ac:dyDescent="0.2">
      <c r="B13" t="s">
        <v>26</v>
      </c>
      <c r="C13" s="4">
        <v>45685</v>
      </c>
      <c r="D13" s="1">
        <v>2548.62</v>
      </c>
      <c r="E13" s="1">
        <f>Tabela3[[#This Row],[Valor Originário]]-L19</f>
        <v>0</v>
      </c>
      <c r="F13" s="10">
        <f>Tabela3[[#This Row],[Saldo Devedor]]*2%</f>
        <v>0</v>
      </c>
      <c r="G13" s="8" t="s">
        <v>6</v>
      </c>
      <c r="H13" s="6">
        <v>28</v>
      </c>
      <c r="J13" t="s">
        <v>24</v>
      </c>
      <c r="K13" s="4">
        <v>45729</v>
      </c>
      <c r="L13" s="1">
        <v>500</v>
      </c>
      <c r="O13">
        <v>20000</v>
      </c>
    </row>
    <row r="14" spans="2:15" x14ac:dyDescent="0.2">
      <c r="B14" t="s">
        <v>27</v>
      </c>
      <c r="C14" s="4">
        <v>45742</v>
      </c>
      <c r="D14" s="1">
        <v>4995.6000000000004</v>
      </c>
      <c r="E14" s="1">
        <f>Tabela3[[#This Row],[Valor Originário]]-L18</f>
        <v>0</v>
      </c>
      <c r="F14" s="10">
        <f>Tabela3[[#This Row],[Saldo Devedor]]*2%</f>
        <v>0</v>
      </c>
      <c r="G14" s="8" t="s">
        <v>6</v>
      </c>
      <c r="H14" s="6">
        <v>26</v>
      </c>
      <c r="J14" t="s">
        <v>20</v>
      </c>
      <c r="K14" s="4">
        <v>45743</v>
      </c>
      <c r="L14" s="1">
        <v>1000</v>
      </c>
      <c r="O14">
        <v>-14580.3</v>
      </c>
    </row>
    <row r="15" spans="2:15" x14ac:dyDescent="0.2">
      <c r="B15" t="s">
        <v>28</v>
      </c>
      <c r="C15" s="4">
        <v>45744</v>
      </c>
      <c r="D15" s="1">
        <v>7900</v>
      </c>
      <c r="E15" s="1">
        <f>Tabela3[[#This Row],[Valor Originário]]-L17</f>
        <v>0</v>
      </c>
      <c r="F15" s="10">
        <f>Tabela3[[#This Row],[Saldo Devedor]]*1.2%</f>
        <v>0</v>
      </c>
      <c r="G15" s="8" t="s">
        <v>6</v>
      </c>
      <c r="H15" s="6">
        <v>28</v>
      </c>
      <c r="J15" t="s">
        <v>30</v>
      </c>
      <c r="K15" s="4">
        <v>45763</v>
      </c>
      <c r="L15" s="1">
        <v>1600</v>
      </c>
      <c r="O15">
        <f>SUM(O13:O14)</f>
        <v>5419.7000000000007</v>
      </c>
    </row>
    <row r="16" spans="2:15" x14ac:dyDescent="0.2">
      <c r="B16" t="s">
        <v>29</v>
      </c>
      <c r="C16" s="4">
        <v>45758</v>
      </c>
      <c r="D16" s="1">
        <v>2475</v>
      </c>
      <c r="E16" s="1">
        <f>Tabela3[[#This Row],[Valor Originário]]-Tabela32[[#This Row],[Valor Pagamento]]</f>
        <v>0</v>
      </c>
      <c r="F16" s="10">
        <f>Tabela3[[#This Row],[Saldo Devedor]]*1.2%</f>
        <v>0</v>
      </c>
      <c r="G16" s="8" t="s">
        <v>6</v>
      </c>
      <c r="H16" s="6">
        <v>11</v>
      </c>
      <c r="J16" t="s">
        <v>32</v>
      </c>
      <c r="K16" s="4">
        <v>45763</v>
      </c>
      <c r="L16" s="1">
        <v>2475</v>
      </c>
    </row>
    <row r="17" spans="2:12" x14ac:dyDescent="0.2">
      <c r="B17" t="s">
        <v>30</v>
      </c>
      <c r="C17" s="4">
        <v>45763</v>
      </c>
      <c r="D17" s="1">
        <v>1600</v>
      </c>
      <c r="E17" s="1">
        <f>Tabela3[[#This Row],[Valor Originário]]-L15</f>
        <v>0</v>
      </c>
      <c r="F17" s="10">
        <f>Tabela3[[#This Row],[Saldo Devedor]]*2%</f>
        <v>0</v>
      </c>
      <c r="G17" s="7" t="s">
        <v>6</v>
      </c>
      <c r="H17" s="6">
        <v>16</v>
      </c>
      <c r="J17" t="s">
        <v>28</v>
      </c>
      <c r="K17" s="4">
        <v>45763</v>
      </c>
      <c r="L17" s="1">
        <v>7900</v>
      </c>
    </row>
    <row r="18" spans="2:12" x14ac:dyDescent="0.2">
      <c r="C18" s="4"/>
      <c r="D18" s="1"/>
      <c r="F18" s="10"/>
      <c r="J18" t="s">
        <v>27</v>
      </c>
      <c r="K18" s="4">
        <v>45763</v>
      </c>
      <c r="L18" s="1">
        <v>4995.6000000000004</v>
      </c>
    </row>
    <row r="19" spans="2:12" x14ac:dyDescent="0.2">
      <c r="B19" t="s">
        <v>31</v>
      </c>
      <c r="C19" s="4">
        <v>45763</v>
      </c>
      <c r="D19" s="1">
        <v>100000</v>
      </c>
      <c r="E19" s="1">
        <f>100000-L25-L26-L27-L28-L29-L30-L31-L32+L33+L34+L35+L36+L38+L39+L40+L41</f>
        <v>94438.2</v>
      </c>
      <c r="F19" s="10">
        <f>Tabela3[[#This Row],[Saldo Devedor]]*1.2%</f>
        <v>1133.2583999999999</v>
      </c>
      <c r="G19" s="7" t="s">
        <v>6</v>
      </c>
      <c r="H19" s="6">
        <v>16</v>
      </c>
      <c r="J19" t="s">
        <v>26</v>
      </c>
      <c r="K19" s="4">
        <v>45763</v>
      </c>
      <c r="L19" s="1">
        <v>2548.62</v>
      </c>
    </row>
    <row r="20" spans="2:12" x14ac:dyDescent="0.2">
      <c r="B20" t="s">
        <v>35</v>
      </c>
      <c r="C20" s="4">
        <v>46178</v>
      </c>
      <c r="D20" s="1">
        <v>2000</v>
      </c>
      <c r="E20" s="33">
        <f>L37</f>
        <v>2000</v>
      </c>
      <c r="F20" s="10">
        <f>Tabela3[[#This Row],[Saldo Devedor]]*1.2%</f>
        <v>24</v>
      </c>
      <c r="G20" s="7" t="s">
        <v>6</v>
      </c>
      <c r="H20" s="6">
        <v>5</v>
      </c>
      <c r="J20" t="s">
        <v>25</v>
      </c>
      <c r="K20" s="4">
        <v>45763</v>
      </c>
      <c r="L20" s="1">
        <v>6302.65</v>
      </c>
    </row>
    <row r="21" spans="2:12" x14ac:dyDescent="0.2">
      <c r="C21" s="4"/>
      <c r="D21" s="1"/>
      <c r="F21" s="10"/>
      <c r="J21" t="s">
        <v>24</v>
      </c>
      <c r="K21" s="4">
        <v>45763</v>
      </c>
      <c r="L21" s="1">
        <v>8441.9699999999993</v>
      </c>
    </row>
    <row r="22" spans="2:12" x14ac:dyDescent="0.2">
      <c r="C22" s="4"/>
      <c r="D22" s="1"/>
      <c r="F22" s="10"/>
      <c r="J22" t="s">
        <v>20</v>
      </c>
      <c r="K22" s="4">
        <v>45763</v>
      </c>
      <c r="L22" s="1">
        <v>8384</v>
      </c>
    </row>
    <row r="23" spans="2:12" x14ac:dyDescent="0.2">
      <c r="C23" s="4"/>
      <c r="D23" s="1"/>
      <c r="F23" s="10"/>
      <c r="J23" t="s">
        <v>19</v>
      </c>
      <c r="K23" s="4">
        <v>45763</v>
      </c>
      <c r="L23" s="1">
        <v>4736.05</v>
      </c>
    </row>
    <row r="24" spans="2:12" x14ac:dyDescent="0.2">
      <c r="C24" s="4"/>
      <c r="D24" s="1"/>
      <c r="F24" s="10"/>
      <c r="J24" t="s">
        <v>16</v>
      </c>
      <c r="K24" s="4">
        <v>45763</v>
      </c>
      <c r="L24" s="1">
        <v>24200</v>
      </c>
    </row>
    <row r="25" spans="2:12" x14ac:dyDescent="0.2">
      <c r="C25" s="4"/>
      <c r="D25" s="1"/>
      <c r="F25" s="10"/>
      <c r="J25" t="s">
        <v>31</v>
      </c>
      <c r="K25" s="4">
        <v>45807</v>
      </c>
      <c r="L25" s="1">
        <v>28000</v>
      </c>
    </row>
    <row r="26" spans="2:12" x14ac:dyDescent="0.2">
      <c r="C26" s="4"/>
      <c r="D26" s="1"/>
      <c r="F26" s="10"/>
      <c r="J26" t="s">
        <v>31</v>
      </c>
      <c r="K26" s="4">
        <v>45779</v>
      </c>
      <c r="L26" s="1">
        <v>5000</v>
      </c>
    </row>
    <row r="27" spans="2:12" x14ac:dyDescent="0.2">
      <c r="C27" s="4"/>
      <c r="D27" s="1"/>
      <c r="F27" s="10"/>
      <c r="J27" t="s">
        <v>31</v>
      </c>
      <c r="K27" s="4">
        <v>45817</v>
      </c>
      <c r="L27" s="1">
        <v>600</v>
      </c>
    </row>
    <row r="28" spans="2:12" x14ac:dyDescent="0.2">
      <c r="C28" s="4"/>
      <c r="D28" s="1"/>
      <c r="F28" s="10"/>
      <c r="J28" t="s">
        <v>31</v>
      </c>
      <c r="K28" s="4">
        <v>45828</v>
      </c>
      <c r="L28" s="1">
        <v>-200</v>
      </c>
    </row>
    <row r="29" spans="2:12" x14ac:dyDescent="0.2">
      <c r="C29" s="4"/>
      <c r="D29" s="1"/>
      <c r="F29" s="10"/>
      <c r="J29" t="s">
        <v>31</v>
      </c>
      <c r="K29" s="4">
        <v>45832</v>
      </c>
      <c r="L29" s="1">
        <v>-200</v>
      </c>
    </row>
    <row r="30" spans="2:12" x14ac:dyDescent="0.2">
      <c r="C30" s="4"/>
      <c r="D30" s="1"/>
      <c r="F30" s="10"/>
      <c r="J30" t="s">
        <v>31</v>
      </c>
      <c r="K30" s="4">
        <v>45833</v>
      </c>
      <c r="L30" s="1">
        <v>-300</v>
      </c>
    </row>
    <row r="31" spans="2:12" x14ac:dyDescent="0.2">
      <c r="C31" s="4"/>
      <c r="D31" s="1"/>
      <c r="F31" s="10"/>
      <c r="J31" t="s">
        <v>31</v>
      </c>
      <c r="K31" s="4">
        <v>45839</v>
      </c>
      <c r="L31" s="1">
        <v>-50</v>
      </c>
    </row>
    <row r="32" spans="2:12" x14ac:dyDescent="0.2">
      <c r="C32" s="4"/>
      <c r="D32" s="1"/>
      <c r="F32" s="10"/>
      <c r="J32" t="s">
        <v>31</v>
      </c>
      <c r="K32" s="4">
        <v>45868</v>
      </c>
      <c r="L32" s="1">
        <f>-3500+2300</f>
        <v>-1200</v>
      </c>
    </row>
    <row r="33" spans="3:12" x14ac:dyDescent="0.2">
      <c r="C33" s="4"/>
      <c r="D33" s="1"/>
      <c r="F33" s="10"/>
      <c r="J33" t="s">
        <v>31</v>
      </c>
      <c r="K33" s="4">
        <v>46153</v>
      </c>
      <c r="L33" s="1">
        <v>5000</v>
      </c>
    </row>
    <row r="34" spans="3:12" x14ac:dyDescent="0.2">
      <c r="C34" s="4"/>
      <c r="D34" s="1"/>
      <c r="F34" s="10"/>
      <c r="J34" t="s">
        <v>31</v>
      </c>
      <c r="K34" s="4">
        <v>46164</v>
      </c>
      <c r="L34" s="1">
        <v>1000</v>
      </c>
    </row>
    <row r="35" spans="3:12" x14ac:dyDescent="0.2">
      <c r="C35" s="4"/>
      <c r="D35" s="1"/>
      <c r="F35" s="10"/>
      <c r="J35" t="s">
        <v>31</v>
      </c>
      <c r="K35" s="4">
        <v>46164</v>
      </c>
      <c r="L35" s="1">
        <v>3000</v>
      </c>
    </row>
    <row r="36" spans="3:12" x14ac:dyDescent="0.2">
      <c r="C36" s="4"/>
      <c r="D36" s="1"/>
      <c r="F36" s="10"/>
      <c r="J36" t="s">
        <v>31</v>
      </c>
      <c r="K36" s="4">
        <v>46164</v>
      </c>
      <c r="L36" s="1">
        <v>5000</v>
      </c>
    </row>
    <row r="37" spans="3:12" x14ac:dyDescent="0.2">
      <c r="C37" s="4"/>
      <c r="D37" s="1"/>
      <c r="F37" s="10"/>
      <c r="J37" t="s">
        <v>35</v>
      </c>
      <c r="K37" s="4">
        <v>46178</v>
      </c>
      <c r="L37" s="1">
        <v>2000</v>
      </c>
    </row>
    <row r="38" spans="3:12" x14ac:dyDescent="0.2">
      <c r="C38" s="4"/>
      <c r="D38" s="1"/>
      <c r="F38" s="10"/>
      <c r="J38" t="s">
        <v>31</v>
      </c>
      <c r="K38" s="4">
        <v>46181</v>
      </c>
      <c r="L38" s="1">
        <v>3300</v>
      </c>
    </row>
    <row r="39" spans="3:12" x14ac:dyDescent="0.2">
      <c r="C39" s="4"/>
      <c r="D39" s="1"/>
      <c r="F39" s="10"/>
      <c r="J39" t="s">
        <v>31</v>
      </c>
      <c r="K39" s="4">
        <v>46182</v>
      </c>
      <c r="L39" s="1">
        <v>800</v>
      </c>
    </row>
    <row r="40" spans="3:12" x14ac:dyDescent="0.2">
      <c r="C40" s="4"/>
      <c r="D40" s="1"/>
      <c r="F40" s="10"/>
      <c r="J40" t="s">
        <v>31</v>
      </c>
      <c r="K40" s="4">
        <v>46185</v>
      </c>
      <c r="L40" s="1">
        <v>7000</v>
      </c>
    </row>
    <row r="41" spans="3:12" x14ac:dyDescent="0.2">
      <c r="C41" s="4"/>
      <c r="D41" s="1"/>
      <c r="F41" s="10"/>
      <c r="J41" t="s">
        <v>36</v>
      </c>
      <c r="K41" s="4">
        <v>46189</v>
      </c>
      <c r="L41" s="1">
        <v>988.2</v>
      </c>
    </row>
    <row r="42" spans="3:12" x14ac:dyDescent="0.2">
      <c r="C42" s="4"/>
      <c r="D42" s="1"/>
      <c r="F42" s="10"/>
      <c r="K42" s="4"/>
      <c r="L42" s="1"/>
    </row>
    <row r="43" spans="3:12" x14ac:dyDescent="0.2">
      <c r="C43" s="4"/>
      <c r="D43" s="1"/>
      <c r="F43" s="10"/>
      <c r="K43" s="4"/>
      <c r="L43" s="1"/>
    </row>
    <row r="44" spans="3:12" x14ac:dyDescent="0.2">
      <c r="C44" s="4"/>
      <c r="D44" s="1"/>
      <c r="F44" s="10"/>
      <c r="K44" s="4"/>
      <c r="L44" s="1"/>
    </row>
    <row r="45" spans="3:12" x14ac:dyDescent="0.2">
      <c r="C45" s="4"/>
      <c r="D45" s="1"/>
      <c r="F45" s="10"/>
      <c r="K45" s="4"/>
      <c r="L45" s="1"/>
    </row>
    <row r="46" spans="3:12" x14ac:dyDescent="0.2">
      <c r="C46" s="4"/>
      <c r="D46" s="1"/>
      <c r="F46" s="10"/>
      <c r="K46" s="4"/>
      <c r="L46" s="1"/>
    </row>
    <row r="47" spans="3:12" x14ac:dyDescent="0.2">
      <c r="C47" s="4"/>
      <c r="D47" s="1"/>
      <c r="F47" s="10"/>
      <c r="K47" s="4"/>
      <c r="L47" s="1"/>
    </row>
    <row r="48" spans="3:12" x14ac:dyDescent="0.2">
      <c r="C48" s="4"/>
      <c r="D48" s="1"/>
      <c r="F48" s="10"/>
      <c r="K48" s="4"/>
      <c r="L48" s="1"/>
    </row>
    <row r="49" spans="3:12" x14ac:dyDescent="0.2">
      <c r="C49" s="4"/>
      <c r="D49" s="1"/>
      <c r="F49" s="10"/>
      <c r="K49" s="4"/>
      <c r="L49" s="1"/>
    </row>
    <row r="50" spans="3:12" x14ac:dyDescent="0.2">
      <c r="C50" s="4"/>
      <c r="D50" s="1"/>
      <c r="F50" s="10"/>
      <c r="K50" s="4"/>
      <c r="L50" s="1"/>
    </row>
    <row r="51" spans="3:12" x14ac:dyDescent="0.2">
      <c r="C51" s="4"/>
      <c r="D51" s="1"/>
      <c r="F51" s="10"/>
      <c r="K51" s="4"/>
      <c r="L51" s="1"/>
    </row>
    <row r="52" spans="3:12" x14ac:dyDescent="0.2">
      <c r="C52" s="4"/>
      <c r="D52" s="1"/>
      <c r="F52" s="10"/>
      <c r="K52" s="4"/>
      <c r="L52" s="1"/>
    </row>
    <row r="53" spans="3:12" x14ac:dyDescent="0.2">
      <c r="C53" s="4"/>
      <c r="D53" s="1"/>
      <c r="F53" s="10"/>
      <c r="K53" s="4"/>
      <c r="L53" s="1"/>
    </row>
    <row r="54" spans="3:12" x14ac:dyDescent="0.2">
      <c r="C54" s="4"/>
      <c r="D54" s="1"/>
      <c r="F54" s="10"/>
      <c r="K54" s="4"/>
      <c r="L54" s="1"/>
    </row>
    <row r="55" spans="3:12" x14ac:dyDescent="0.2">
      <c r="C55" s="4"/>
      <c r="D55" s="1"/>
      <c r="F55" s="10"/>
      <c r="K55" s="4"/>
      <c r="L55" s="1"/>
    </row>
    <row r="56" spans="3:12" x14ac:dyDescent="0.2">
      <c r="C56" s="4"/>
      <c r="D56" s="1"/>
      <c r="F56" s="10"/>
      <c r="K56" s="4"/>
    </row>
    <row r="57" spans="3:12" x14ac:dyDescent="0.2">
      <c r="C57" s="4"/>
      <c r="D57" s="1"/>
      <c r="F57" s="10"/>
      <c r="K57" s="4"/>
    </row>
    <row r="58" spans="3:12" x14ac:dyDescent="0.2">
      <c r="C58" s="4"/>
      <c r="D58" s="1"/>
      <c r="F58" s="10"/>
      <c r="K58" s="4"/>
    </row>
    <row r="59" spans="3:12" x14ac:dyDescent="0.2">
      <c r="C59" s="4"/>
      <c r="D59" s="1"/>
      <c r="F59" s="10"/>
      <c r="K59" s="4"/>
    </row>
    <row r="60" spans="3:12" x14ac:dyDescent="0.2">
      <c r="C60" s="4"/>
      <c r="D60" s="1"/>
      <c r="F60" s="10"/>
      <c r="K60" s="4"/>
    </row>
    <row r="61" spans="3:12" x14ac:dyDescent="0.2">
      <c r="C61" s="4"/>
      <c r="D61" s="1"/>
      <c r="F61" s="10"/>
      <c r="K61" s="4"/>
    </row>
    <row r="62" spans="3:12" x14ac:dyDescent="0.2">
      <c r="C62" s="4"/>
      <c r="D62" s="1"/>
      <c r="F62" s="10"/>
      <c r="K62" s="4"/>
    </row>
    <row r="63" spans="3:12" x14ac:dyDescent="0.2">
      <c r="C63" s="4"/>
      <c r="D63" s="1"/>
      <c r="F63" s="10"/>
      <c r="K63" s="4"/>
    </row>
    <row r="64" spans="3:12" x14ac:dyDescent="0.2">
      <c r="C64" s="4"/>
      <c r="D64" s="1"/>
      <c r="F64" s="10"/>
      <c r="K64" s="4"/>
    </row>
    <row r="65" spans="3:11" x14ac:dyDescent="0.2">
      <c r="C65" s="4"/>
      <c r="D65" s="1"/>
      <c r="F65" s="10"/>
      <c r="K65" s="4"/>
    </row>
    <row r="66" spans="3:11" x14ac:dyDescent="0.2">
      <c r="C66" s="4"/>
      <c r="D66" s="1"/>
      <c r="F66" s="10"/>
      <c r="K66" s="4"/>
    </row>
    <row r="67" spans="3:11" x14ac:dyDescent="0.2">
      <c r="C67" s="4"/>
      <c r="D67" s="1"/>
      <c r="F67" s="10"/>
      <c r="K67" s="4"/>
    </row>
    <row r="68" spans="3:11" x14ac:dyDescent="0.2">
      <c r="C68" s="4"/>
      <c r="D68" s="1"/>
      <c r="F68" s="10"/>
      <c r="K68" s="4"/>
    </row>
    <row r="69" spans="3:11" x14ac:dyDescent="0.2">
      <c r="C69" s="4"/>
      <c r="D69" s="1"/>
      <c r="F69" s="10"/>
      <c r="K69" s="4"/>
    </row>
    <row r="70" spans="3:11" x14ac:dyDescent="0.2">
      <c r="C70" s="4"/>
      <c r="D70" s="1"/>
      <c r="F70" s="10"/>
      <c r="K70" s="4"/>
    </row>
    <row r="71" spans="3:11" x14ac:dyDescent="0.2">
      <c r="C71" s="4"/>
      <c r="D71" s="1"/>
      <c r="F71" s="10"/>
      <c r="K71" s="4"/>
    </row>
    <row r="72" spans="3:11" x14ac:dyDescent="0.2">
      <c r="C72" s="4"/>
      <c r="D72" s="1"/>
      <c r="F72" s="10"/>
      <c r="K72" s="4"/>
    </row>
    <row r="73" spans="3:11" x14ac:dyDescent="0.2">
      <c r="C73" s="4"/>
      <c r="D73" s="1"/>
      <c r="F73" s="10"/>
      <c r="K73" s="4"/>
    </row>
    <row r="74" spans="3:11" x14ac:dyDescent="0.2">
      <c r="C74" s="4"/>
      <c r="D74" s="1"/>
      <c r="F74" s="10"/>
      <c r="K74" s="4"/>
    </row>
    <row r="75" spans="3:11" x14ac:dyDescent="0.2">
      <c r="C75" s="4"/>
      <c r="D75" s="1"/>
      <c r="F75" s="10"/>
      <c r="K75" s="4"/>
    </row>
    <row r="76" spans="3:11" x14ac:dyDescent="0.2">
      <c r="C76" s="4"/>
      <c r="D76" s="1"/>
      <c r="F76" s="10"/>
      <c r="K76" s="4"/>
    </row>
    <row r="77" spans="3:11" x14ac:dyDescent="0.2">
      <c r="C77" s="4"/>
      <c r="D77" s="1"/>
      <c r="F77" s="10"/>
      <c r="K77" s="4"/>
    </row>
    <row r="78" spans="3:11" x14ac:dyDescent="0.2">
      <c r="C78" s="4"/>
      <c r="D78" s="1"/>
      <c r="F78" s="10"/>
      <c r="K78" s="4"/>
    </row>
    <row r="79" spans="3:11" x14ac:dyDescent="0.2">
      <c r="C79" s="4"/>
      <c r="D79" s="1"/>
      <c r="F79" s="10"/>
      <c r="K79" s="4"/>
    </row>
    <row r="80" spans="3:11" x14ac:dyDescent="0.2">
      <c r="C80" s="4"/>
      <c r="D80" s="1"/>
      <c r="F80" s="10"/>
      <c r="K80" s="4"/>
    </row>
    <row r="81" spans="3:11" x14ac:dyDescent="0.2">
      <c r="C81" s="4"/>
      <c r="D81" s="1"/>
      <c r="F81" s="10"/>
      <c r="K81" s="4"/>
    </row>
    <row r="82" spans="3:11" x14ac:dyDescent="0.2">
      <c r="C82" s="4"/>
      <c r="D82" s="1"/>
      <c r="F82" s="10"/>
      <c r="K82" s="4"/>
    </row>
    <row r="83" spans="3:11" x14ac:dyDescent="0.2">
      <c r="C83" s="4"/>
      <c r="D83" s="1"/>
      <c r="F83" s="10"/>
      <c r="K83" s="4"/>
    </row>
    <row r="84" spans="3:11" x14ac:dyDescent="0.2">
      <c r="C84" s="4"/>
      <c r="D84" s="1"/>
      <c r="F84" s="10"/>
      <c r="K84" s="4"/>
    </row>
    <row r="85" spans="3:11" x14ac:dyDescent="0.2">
      <c r="C85" s="4"/>
      <c r="D85" s="1"/>
      <c r="F85" s="10"/>
      <c r="K85" s="4"/>
    </row>
    <row r="86" spans="3:11" x14ac:dyDescent="0.2">
      <c r="C86" s="4"/>
      <c r="D86" s="1"/>
      <c r="F86" s="10"/>
      <c r="K86" s="4"/>
    </row>
    <row r="87" spans="3:11" x14ac:dyDescent="0.2">
      <c r="C87" s="4"/>
      <c r="D87" s="1"/>
      <c r="F87" s="10"/>
      <c r="K87" s="4"/>
    </row>
    <row r="88" spans="3:11" x14ac:dyDescent="0.2">
      <c r="C88" s="4"/>
      <c r="D88" s="1"/>
      <c r="F88" s="10"/>
      <c r="K88" s="4"/>
    </row>
    <row r="89" spans="3:11" x14ac:dyDescent="0.2">
      <c r="C89" s="4"/>
      <c r="D89" s="1"/>
      <c r="F89" s="10"/>
      <c r="K89" s="4"/>
    </row>
    <row r="90" spans="3:11" x14ac:dyDescent="0.2">
      <c r="C90" s="4"/>
      <c r="D90" s="1"/>
      <c r="F90" s="10"/>
      <c r="K90" s="4"/>
    </row>
    <row r="91" spans="3:11" x14ac:dyDescent="0.2">
      <c r="C91" s="4"/>
      <c r="D91" s="1"/>
      <c r="F91" s="10"/>
      <c r="K91" s="4"/>
    </row>
    <row r="92" spans="3:11" x14ac:dyDescent="0.2">
      <c r="C92" s="4"/>
      <c r="D92" s="1"/>
      <c r="F92" s="10"/>
      <c r="K92" s="4"/>
    </row>
    <row r="93" spans="3:11" x14ac:dyDescent="0.2">
      <c r="C93" s="4"/>
      <c r="D93" s="1"/>
      <c r="F93" s="10"/>
      <c r="K93" s="4"/>
    </row>
    <row r="94" spans="3:11" x14ac:dyDescent="0.2">
      <c r="C94" s="4"/>
      <c r="D94" s="1"/>
      <c r="F94" s="10"/>
      <c r="K94" s="4"/>
    </row>
    <row r="95" spans="3:11" x14ac:dyDescent="0.2">
      <c r="C95" s="4"/>
      <c r="D95" s="1"/>
      <c r="F95" s="10"/>
      <c r="K95" s="4"/>
    </row>
    <row r="96" spans="3:11" x14ac:dyDescent="0.2">
      <c r="C96" s="4"/>
      <c r="D96" s="1"/>
      <c r="F96" s="10"/>
      <c r="K96" s="4"/>
    </row>
    <row r="97" spans="3:11" x14ac:dyDescent="0.2">
      <c r="C97" s="4"/>
      <c r="D97" s="1"/>
      <c r="F97" s="10"/>
      <c r="K97" s="4"/>
    </row>
    <row r="98" spans="3:11" x14ac:dyDescent="0.2">
      <c r="C98" s="4"/>
      <c r="D98" s="1"/>
      <c r="F98" s="10"/>
      <c r="K98" s="4"/>
    </row>
    <row r="99" spans="3:11" x14ac:dyDescent="0.2">
      <c r="C99" s="4"/>
      <c r="D99" s="1"/>
      <c r="F99" s="10"/>
      <c r="K99" s="4"/>
    </row>
    <row r="100" spans="3:11" x14ac:dyDescent="0.2">
      <c r="C100" s="4"/>
      <c r="D100" s="1"/>
      <c r="F100" s="10"/>
      <c r="K100" s="4"/>
    </row>
    <row r="101" spans="3:11" x14ac:dyDescent="0.2">
      <c r="C101" s="4"/>
      <c r="D101" s="1"/>
      <c r="F101" s="10"/>
      <c r="K101" s="4"/>
    </row>
    <row r="102" spans="3:11" x14ac:dyDescent="0.2">
      <c r="C102" s="4"/>
      <c r="D102" s="1"/>
      <c r="F102" s="10"/>
      <c r="K102" s="4"/>
    </row>
    <row r="103" spans="3:11" x14ac:dyDescent="0.2">
      <c r="C103" s="4"/>
      <c r="D103" s="1"/>
      <c r="F103" s="10"/>
      <c r="K103" s="4"/>
    </row>
    <row r="104" spans="3:11" x14ac:dyDescent="0.2">
      <c r="C104" s="4"/>
      <c r="D104" s="1"/>
      <c r="F104" s="10"/>
      <c r="K104" s="4"/>
    </row>
    <row r="105" spans="3:11" x14ac:dyDescent="0.2">
      <c r="C105" s="4"/>
      <c r="D105" s="1"/>
      <c r="F105" s="10"/>
      <c r="K105" s="4"/>
    </row>
    <row r="106" spans="3:11" x14ac:dyDescent="0.2">
      <c r="C106" s="4"/>
      <c r="D106" s="1"/>
      <c r="F106" s="10"/>
      <c r="K106" s="4"/>
    </row>
    <row r="107" spans="3:11" x14ac:dyDescent="0.2">
      <c r="C107" s="4"/>
      <c r="D107" s="1"/>
      <c r="F107" s="10"/>
      <c r="K107" s="4"/>
    </row>
    <row r="108" spans="3:11" x14ac:dyDescent="0.2">
      <c r="C108" s="4"/>
      <c r="D108" s="1"/>
      <c r="F108" s="10"/>
      <c r="K108" s="4"/>
    </row>
    <row r="109" spans="3:11" x14ac:dyDescent="0.2">
      <c r="C109" s="4"/>
      <c r="D109" s="1"/>
      <c r="F109" s="10"/>
      <c r="K109" s="4"/>
    </row>
    <row r="110" spans="3:11" x14ac:dyDescent="0.2">
      <c r="C110" s="4"/>
      <c r="D110" s="1"/>
      <c r="F110" s="10"/>
      <c r="K110" s="4"/>
    </row>
    <row r="111" spans="3:11" x14ac:dyDescent="0.2">
      <c r="C111" s="4"/>
      <c r="D111" s="1"/>
      <c r="F111" s="10"/>
      <c r="K111" s="4"/>
    </row>
    <row r="112" spans="3:11" x14ac:dyDescent="0.2">
      <c r="C112" s="4"/>
      <c r="D112" s="1"/>
      <c r="F112" s="10"/>
      <c r="K112" s="4"/>
    </row>
    <row r="113" spans="3:11" x14ac:dyDescent="0.2">
      <c r="C113" s="4"/>
      <c r="D113" s="1"/>
      <c r="F113" s="10"/>
      <c r="K113" s="4"/>
    </row>
    <row r="114" spans="3:11" x14ac:dyDescent="0.2">
      <c r="C114" s="4"/>
      <c r="D114" s="1"/>
      <c r="F114" s="10"/>
      <c r="K114" s="4"/>
    </row>
    <row r="115" spans="3:11" x14ac:dyDescent="0.2">
      <c r="C115" s="4"/>
      <c r="D115" s="1"/>
      <c r="F115" s="10"/>
      <c r="K115" s="4"/>
    </row>
    <row r="116" spans="3:11" x14ac:dyDescent="0.2">
      <c r="C116" s="4"/>
      <c r="D116" s="1"/>
      <c r="F116" s="10"/>
      <c r="K116" s="4"/>
    </row>
    <row r="117" spans="3:11" x14ac:dyDescent="0.2">
      <c r="C117" s="4"/>
      <c r="D117" s="1"/>
      <c r="F117" s="10"/>
      <c r="K117" s="4"/>
    </row>
    <row r="118" spans="3:11" x14ac:dyDescent="0.2">
      <c r="C118" s="4"/>
      <c r="D118" s="1"/>
      <c r="F118" s="10"/>
      <c r="K118" s="4"/>
    </row>
    <row r="119" spans="3:11" x14ac:dyDescent="0.2">
      <c r="C119" s="4"/>
      <c r="D119" s="1"/>
      <c r="F119" s="10"/>
      <c r="K119" s="4"/>
    </row>
    <row r="120" spans="3:11" x14ac:dyDescent="0.2">
      <c r="C120" s="4"/>
      <c r="D120" s="1"/>
      <c r="F120" s="10"/>
      <c r="K120" s="4"/>
    </row>
    <row r="121" spans="3:11" x14ac:dyDescent="0.2">
      <c r="C121" s="4"/>
      <c r="D121" s="1"/>
      <c r="F121" s="10"/>
      <c r="K121" s="4"/>
    </row>
    <row r="122" spans="3:11" x14ac:dyDescent="0.2">
      <c r="C122" s="4"/>
      <c r="D122" s="1"/>
      <c r="F122" s="10"/>
      <c r="K122" s="4"/>
    </row>
    <row r="123" spans="3:11" x14ac:dyDescent="0.2">
      <c r="C123" s="4"/>
      <c r="D123" s="1"/>
      <c r="F123" s="10"/>
      <c r="K123" s="4"/>
    </row>
    <row r="124" spans="3:11" x14ac:dyDescent="0.2">
      <c r="C124" s="4"/>
      <c r="D124" s="1"/>
      <c r="F124" s="10"/>
      <c r="K124" s="4"/>
    </row>
    <row r="125" spans="3:11" x14ac:dyDescent="0.2">
      <c r="C125" s="4"/>
      <c r="D125" s="1"/>
      <c r="F125" s="10"/>
      <c r="K125" s="4"/>
    </row>
    <row r="126" spans="3:11" x14ac:dyDescent="0.2">
      <c r="C126" s="4"/>
      <c r="D126" s="1"/>
      <c r="F126" s="10"/>
      <c r="K126" s="4"/>
    </row>
    <row r="127" spans="3:11" x14ac:dyDescent="0.2">
      <c r="C127" s="4"/>
      <c r="D127" s="1"/>
      <c r="F127" s="10"/>
      <c r="K127" s="4"/>
    </row>
    <row r="128" spans="3:11" x14ac:dyDescent="0.2">
      <c r="C128" s="4"/>
      <c r="D128" s="1"/>
      <c r="F128" s="10"/>
      <c r="K128" s="4"/>
    </row>
    <row r="129" spans="3:11" x14ac:dyDescent="0.2">
      <c r="C129" s="4"/>
      <c r="D129" s="1"/>
      <c r="F129" s="10"/>
      <c r="K129" s="4"/>
    </row>
    <row r="130" spans="3:11" x14ac:dyDescent="0.2">
      <c r="C130" s="4"/>
      <c r="D130" s="1"/>
      <c r="F130" s="10"/>
      <c r="K130" s="4"/>
    </row>
    <row r="131" spans="3:11" x14ac:dyDescent="0.2">
      <c r="C131" s="4"/>
      <c r="D131" s="1"/>
      <c r="F131" s="10"/>
      <c r="K131" s="4"/>
    </row>
    <row r="132" spans="3:11" x14ac:dyDescent="0.2">
      <c r="C132" s="4"/>
      <c r="D132" s="1"/>
      <c r="F132" s="10"/>
      <c r="K132" s="4"/>
    </row>
    <row r="133" spans="3:11" x14ac:dyDescent="0.2">
      <c r="C133" s="4"/>
      <c r="D133" s="1"/>
      <c r="F133" s="10"/>
      <c r="K133" s="4"/>
    </row>
    <row r="134" spans="3:11" x14ac:dyDescent="0.2">
      <c r="C134" s="4"/>
      <c r="D134" s="1"/>
      <c r="F134" s="10"/>
      <c r="K134" s="4"/>
    </row>
    <row r="135" spans="3:11" x14ac:dyDescent="0.2">
      <c r="C135" s="4"/>
      <c r="D135" s="1"/>
      <c r="F135" s="10"/>
      <c r="K135" s="4"/>
    </row>
    <row r="136" spans="3:11" x14ac:dyDescent="0.2">
      <c r="C136" s="4"/>
      <c r="D136" s="1"/>
      <c r="F136" s="10"/>
      <c r="K136" s="4"/>
    </row>
    <row r="137" spans="3:11" x14ac:dyDescent="0.2">
      <c r="C137" s="4"/>
      <c r="D137" s="1"/>
      <c r="F137" s="10"/>
      <c r="K137" s="4"/>
    </row>
    <row r="138" spans="3:11" x14ac:dyDescent="0.2">
      <c r="C138" s="4"/>
      <c r="D138" s="1"/>
      <c r="F138" s="10"/>
      <c r="K138" s="4"/>
    </row>
    <row r="139" spans="3:11" x14ac:dyDescent="0.2">
      <c r="C139" s="4"/>
      <c r="D139" s="1"/>
      <c r="F139" s="10"/>
      <c r="K139" s="4"/>
    </row>
    <row r="140" spans="3:11" x14ac:dyDescent="0.2">
      <c r="C140" s="4"/>
      <c r="D140" s="1"/>
      <c r="F140" s="10"/>
      <c r="K140" s="4"/>
    </row>
    <row r="141" spans="3:11" x14ac:dyDescent="0.2">
      <c r="C141" s="4"/>
      <c r="D141" s="1"/>
      <c r="F141" s="10"/>
      <c r="K141" s="4"/>
    </row>
    <row r="142" spans="3:11" x14ac:dyDescent="0.2">
      <c r="C142" s="4"/>
      <c r="D142" s="1"/>
      <c r="F142" s="10"/>
      <c r="K142" s="4"/>
    </row>
    <row r="143" spans="3:11" x14ac:dyDescent="0.2">
      <c r="C143" s="4"/>
      <c r="D143" s="1"/>
      <c r="F143" s="10"/>
      <c r="K143" s="4"/>
    </row>
    <row r="144" spans="3:11" x14ac:dyDescent="0.2">
      <c r="C144" s="4"/>
      <c r="D144" s="1"/>
      <c r="F144" s="10"/>
      <c r="K144" s="4"/>
    </row>
    <row r="145" spans="3:11" x14ac:dyDescent="0.2">
      <c r="C145" s="4"/>
      <c r="D145" s="1"/>
      <c r="F145" s="10"/>
      <c r="K145" s="4"/>
    </row>
    <row r="146" spans="3:11" x14ac:dyDescent="0.2">
      <c r="C146" s="4"/>
      <c r="D146" s="1"/>
      <c r="F146" s="10"/>
      <c r="K146" s="4"/>
    </row>
    <row r="147" spans="3:11" x14ac:dyDescent="0.2">
      <c r="C147" s="4"/>
      <c r="D147" s="1"/>
      <c r="F147" s="10"/>
      <c r="K147" s="4"/>
    </row>
    <row r="148" spans="3:11" x14ac:dyDescent="0.2">
      <c r="C148" s="4"/>
      <c r="D148" s="1"/>
      <c r="F148" s="10"/>
      <c r="K148" s="4"/>
    </row>
    <row r="149" spans="3:11" x14ac:dyDescent="0.2">
      <c r="C149" s="4"/>
      <c r="D149" s="1"/>
      <c r="F149" s="10"/>
      <c r="K149" s="4"/>
    </row>
    <row r="150" spans="3:11" x14ac:dyDescent="0.2">
      <c r="C150" s="4"/>
      <c r="D150" s="1"/>
      <c r="F150" s="10"/>
      <c r="K150" s="4"/>
    </row>
    <row r="151" spans="3:11" x14ac:dyDescent="0.2">
      <c r="C151" s="4"/>
      <c r="D151" s="1"/>
      <c r="F151" s="10"/>
      <c r="K151" s="4"/>
    </row>
    <row r="152" spans="3:11" x14ac:dyDescent="0.2">
      <c r="C152" s="4"/>
      <c r="D152" s="1"/>
      <c r="F152" s="10"/>
      <c r="K152" s="4"/>
    </row>
    <row r="153" spans="3:11" x14ac:dyDescent="0.2">
      <c r="C153" s="4"/>
      <c r="D153" s="1"/>
      <c r="F153" s="10"/>
      <c r="K153" s="4"/>
    </row>
    <row r="154" spans="3:11" x14ac:dyDescent="0.2">
      <c r="C154" s="4"/>
      <c r="D154" s="1"/>
      <c r="F154" s="10"/>
      <c r="K154" s="4"/>
    </row>
    <row r="155" spans="3:11" x14ac:dyDescent="0.2">
      <c r="C155" s="4"/>
      <c r="D155" s="1"/>
      <c r="F155" s="10"/>
      <c r="K155" s="4"/>
    </row>
    <row r="156" spans="3:11" x14ac:dyDescent="0.2">
      <c r="C156" s="4"/>
      <c r="D156" s="1"/>
      <c r="F156" s="10"/>
      <c r="K156" s="4"/>
    </row>
    <row r="157" spans="3:11" x14ac:dyDescent="0.2">
      <c r="C157" s="4"/>
      <c r="D157" s="1"/>
      <c r="F157" s="10"/>
      <c r="K157" s="4"/>
    </row>
    <row r="158" spans="3:11" x14ac:dyDescent="0.2">
      <c r="C158" s="4"/>
      <c r="D158" s="1"/>
      <c r="F158" s="10"/>
      <c r="K158" s="4"/>
    </row>
    <row r="159" spans="3:11" x14ac:dyDescent="0.2">
      <c r="C159" s="4"/>
      <c r="D159" s="1"/>
      <c r="F159" s="10"/>
      <c r="K159" s="4"/>
    </row>
    <row r="160" spans="3:11" x14ac:dyDescent="0.2">
      <c r="C160" s="4"/>
      <c r="D160" s="1"/>
      <c r="F160" s="10"/>
      <c r="K160" s="4"/>
    </row>
    <row r="161" spans="3:11" x14ac:dyDescent="0.2">
      <c r="C161" s="4"/>
      <c r="D161" s="1"/>
      <c r="F161" s="10"/>
      <c r="K161" s="4"/>
    </row>
    <row r="162" spans="3:11" x14ac:dyDescent="0.2">
      <c r="C162" s="4"/>
      <c r="D162" s="1"/>
      <c r="F162" s="10"/>
      <c r="K162" s="4"/>
    </row>
    <row r="163" spans="3:11" x14ac:dyDescent="0.2">
      <c r="C163" s="4"/>
      <c r="D163" s="1"/>
      <c r="F163" s="10"/>
      <c r="K163" s="4"/>
    </row>
    <row r="164" spans="3:11" x14ac:dyDescent="0.2">
      <c r="C164" s="4"/>
      <c r="D164" s="1"/>
      <c r="F164" s="10"/>
      <c r="K164" s="4"/>
    </row>
    <row r="165" spans="3:11" x14ac:dyDescent="0.2">
      <c r="C165" s="4"/>
      <c r="D165" s="1"/>
      <c r="F165" s="10"/>
      <c r="K165" s="4"/>
    </row>
    <row r="166" spans="3:11" x14ac:dyDescent="0.2">
      <c r="C166" s="4"/>
      <c r="D166" s="1"/>
      <c r="F166" s="10"/>
      <c r="K166" s="4"/>
    </row>
    <row r="167" spans="3:11" x14ac:dyDescent="0.2">
      <c r="C167" s="4"/>
      <c r="D167" s="1"/>
      <c r="F167" s="10"/>
      <c r="K167" s="4"/>
    </row>
    <row r="168" spans="3:11" x14ac:dyDescent="0.2">
      <c r="C168" s="4"/>
      <c r="D168" s="1"/>
      <c r="F168" s="10"/>
      <c r="K168" s="4"/>
    </row>
    <row r="169" spans="3:11" x14ac:dyDescent="0.2">
      <c r="C169" s="4"/>
      <c r="D169" s="1"/>
      <c r="F169" s="10"/>
      <c r="K169" s="4"/>
    </row>
    <row r="170" spans="3:11" x14ac:dyDescent="0.2">
      <c r="C170" s="4"/>
      <c r="D170" s="1"/>
      <c r="F170" s="10"/>
      <c r="K170" s="4"/>
    </row>
    <row r="171" spans="3:11" x14ac:dyDescent="0.2">
      <c r="C171" s="4"/>
      <c r="D171" s="1"/>
      <c r="F171" s="10"/>
      <c r="K171" s="4"/>
    </row>
    <row r="172" spans="3:11" x14ac:dyDescent="0.2">
      <c r="C172" s="4"/>
      <c r="D172" s="1"/>
      <c r="F172" s="10"/>
      <c r="K172" s="4"/>
    </row>
    <row r="173" spans="3:11" x14ac:dyDescent="0.2">
      <c r="C173" s="4"/>
      <c r="D173" s="1"/>
      <c r="F173" s="10"/>
      <c r="K173" s="4"/>
    </row>
    <row r="174" spans="3:11" x14ac:dyDescent="0.2">
      <c r="C174" s="4"/>
      <c r="D174" s="1"/>
      <c r="F174" s="10"/>
      <c r="K174" s="4"/>
    </row>
    <row r="175" spans="3:11" x14ac:dyDescent="0.2">
      <c r="C175" s="4"/>
      <c r="D175" s="1"/>
      <c r="F175" s="10"/>
      <c r="K175" s="4"/>
    </row>
    <row r="176" spans="3:11" x14ac:dyDescent="0.2">
      <c r="C176" s="4"/>
      <c r="D176" s="1"/>
      <c r="F176" s="10"/>
      <c r="K176" s="4"/>
    </row>
    <row r="177" spans="3:11" x14ac:dyDescent="0.2">
      <c r="C177" s="4"/>
      <c r="D177" s="1"/>
      <c r="F177" s="10"/>
      <c r="K177" s="4"/>
    </row>
    <row r="178" spans="3:11" x14ac:dyDescent="0.2">
      <c r="C178" s="4"/>
      <c r="D178" s="1"/>
      <c r="F178" s="10"/>
      <c r="K178" s="4"/>
    </row>
    <row r="179" spans="3:11" x14ac:dyDescent="0.2">
      <c r="C179" s="4"/>
      <c r="D179" s="1"/>
      <c r="F179" s="10"/>
      <c r="K179" s="4"/>
    </row>
    <row r="180" spans="3:11" x14ac:dyDescent="0.2">
      <c r="C180" s="4"/>
      <c r="D180" s="1"/>
      <c r="F180" s="10"/>
      <c r="K180" s="4"/>
    </row>
    <row r="181" spans="3:11" x14ac:dyDescent="0.2">
      <c r="C181" s="4"/>
      <c r="D181" s="1"/>
      <c r="F181" s="10"/>
      <c r="K181" s="4"/>
    </row>
    <row r="182" spans="3:11" x14ac:dyDescent="0.2">
      <c r="C182" s="4"/>
      <c r="D182" s="1"/>
      <c r="F182" s="10"/>
      <c r="K182" s="4"/>
    </row>
    <row r="183" spans="3:11" x14ac:dyDescent="0.2">
      <c r="C183" s="4"/>
      <c r="D183" s="1"/>
      <c r="F183" s="10"/>
      <c r="K183" s="4"/>
    </row>
    <row r="184" spans="3:11" x14ac:dyDescent="0.2">
      <c r="C184" s="4"/>
      <c r="D184" s="1"/>
      <c r="F184" s="10"/>
      <c r="K184" s="4"/>
    </row>
    <row r="185" spans="3:11" x14ac:dyDescent="0.2">
      <c r="C185" s="4"/>
      <c r="D185" s="1"/>
      <c r="F185" s="10"/>
      <c r="K185" s="4"/>
    </row>
    <row r="186" spans="3:11" x14ac:dyDescent="0.2">
      <c r="C186" s="4"/>
      <c r="D186" s="1"/>
      <c r="F186" s="10"/>
      <c r="K186" s="4"/>
    </row>
    <row r="187" spans="3:11" x14ac:dyDescent="0.2">
      <c r="C187" s="4"/>
      <c r="D187" s="1"/>
      <c r="F187" s="10"/>
      <c r="K187" s="4"/>
    </row>
    <row r="188" spans="3:11" x14ac:dyDescent="0.2">
      <c r="C188" s="4"/>
      <c r="D188" s="1"/>
      <c r="F188" s="10"/>
      <c r="K188" s="4"/>
    </row>
    <row r="189" spans="3:11" x14ac:dyDescent="0.2">
      <c r="C189" s="4"/>
      <c r="D189" s="1"/>
      <c r="F189" s="10"/>
      <c r="K189" s="4"/>
    </row>
    <row r="190" spans="3:11" x14ac:dyDescent="0.2">
      <c r="C190" s="4"/>
      <c r="D190" s="1"/>
      <c r="F190" s="10"/>
      <c r="K190" s="4"/>
    </row>
    <row r="191" spans="3:11" x14ac:dyDescent="0.2">
      <c r="C191" s="4"/>
      <c r="D191" s="1"/>
      <c r="F191" s="10"/>
      <c r="K191" s="4"/>
    </row>
    <row r="192" spans="3:11" x14ac:dyDescent="0.2">
      <c r="C192" s="4"/>
      <c r="D192" s="1"/>
      <c r="F192" s="10"/>
      <c r="K192" s="4"/>
    </row>
    <row r="193" spans="3:11" x14ac:dyDescent="0.2">
      <c r="C193" s="4"/>
      <c r="D193" s="1"/>
      <c r="F193" s="10"/>
      <c r="K193" s="4"/>
    </row>
    <row r="194" spans="3:11" x14ac:dyDescent="0.2">
      <c r="C194" s="4"/>
      <c r="D194" s="1"/>
      <c r="F194" s="10"/>
      <c r="K194" s="4"/>
    </row>
    <row r="195" spans="3:11" x14ac:dyDescent="0.2">
      <c r="C195" s="4"/>
      <c r="D195" s="1"/>
      <c r="F195" s="10"/>
      <c r="K195" s="4"/>
    </row>
    <row r="196" spans="3:11" x14ac:dyDescent="0.2">
      <c r="C196" s="4"/>
      <c r="D196" s="1"/>
      <c r="F196" s="10"/>
      <c r="K196" s="4"/>
    </row>
    <row r="197" spans="3:11" x14ac:dyDescent="0.2">
      <c r="C197" s="4"/>
      <c r="D197" s="1"/>
      <c r="F197" s="10"/>
      <c r="K197" s="4"/>
    </row>
    <row r="198" spans="3:11" x14ac:dyDescent="0.2">
      <c r="C198" s="4"/>
      <c r="D198" s="1"/>
      <c r="F198" s="10"/>
      <c r="K198" s="4"/>
    </row>
    <row r="199" spans="3:11" x14ac:dyDescent="0.2">
      <c r="C199" s="4"/>
      <c r="D199" s="1"/>
      <c r="F199" s="10"/>
      <c r="K199" s="4"/>
    </row>
    <row r="200" spans="3:11" x14ac:dyDescent="0.2">
      <c r="C200" s="4"/>
      <c r="D200" s="1"/>
      <c r="F200" s="10"/>
      <c r="K200" s="4"/>
    </row>
    <row r="201" spans="3:11" x14ac:dyDescent="0.2">
      <c r="C201" s="4"/>
      <c r="D201" s="1"/>
      <c r="F201" s="10"/>
      <c r="K201" s="4"/>
    </row>
    <row r="202" spans="3:11" x14ac:dyDescent="0.2">
      <c r="C202" s="4"/>
      <c r="D202" s="1"/>
      <c r="F202" s="10"/>
      <c r="K202" s="4"/>
    </row>
    <row r="203" spans="3:11" x14ac:dyDescent="0.2">
      <c r="C203" s="4"/>
      <c r="D203" s="1"/>
      <c r="F203" s="10"/>
      <c r="K203" s="4"/>
    </row>
    <row r="204" spans="3:11" x14ac:dyDescent="0.2">
      <c r="C204" s="4"/>
      <c r="D204" s="1"/>
      <c r="F204" s="10"/>
      <c r="K204" s="4"/>
    </row>
    <row r="205" spans="3:11" x14ac:dyDescent="0.2">
      <c r="C205" s="4"/>
      <c r="D205" s="1"/>
      <c r="F205" s="10"/>
      <c r="K205" s="4"/>
    </row>
    <row r="206" spans="3:11" x14ac:dyDescent="0.2">
      <c r="C206" s="4"/>
      <c r="D206" s="1"/>
      <c r="F206" s="10"/>
      <c r="K206" s="4"/>
    </row>
    <row r="207" spans="3:11" x14ac:dyDescent="0.2">
      <c r="C207" s="4"/>
      <c r="D207" s="1"/>
      <c r="F207" s="10"/>
      <c r="K207" s="4"/>
    </row>
    <row r="208" spans="3:11" x14ac:dyDescent="0.2">
      <c r="C208" s="4"/>
      <c r="D208" s="1"/>
      <c r="F208" s="10"/>
      <c r="K208" s="4"/>
    </row>
    <row r="209" spans="3:11" x14ac:dyDescent="0.2">
      <c r="C209" s="4"/>
      <c r="D209" s="1"/>
      <c r="F209" s="10"/>
      <c r="K209" s="4"/>
    </row>
    <row r="210" spans="3:11" x14ac:dyDescent="0.2">
      <c r="C210" s="4"/>
      <c r="D210" s="1"/>
      <c r="F210" s="10"/>
      <c r="K210" s="4"/>
    </row>
    <row r="211" spans="3:11" x14ac:dyDescent="0.2">
      <c r="C211" s="4"/>
      <c r="D211" s="1"/>
      <c r="F211" s="10"/>
      <c r="K211" s="4"/>
    </row>
    <row r="212" spans="3:11" x14ac:dyDescent="0.2">
      <c r="C212" s="4"/>
      <c r="D212" s="1"/>
      <c r="F212" s="10"/>
      <c r="K212" s="4"/>
    </row>
    <row r="213" spans="3:11" x14ac:dyDescent="0.2">
      <c r="C213" s="4"/>
      <c r="D213" s="1"/>
      <c r="F213" s="10"/>
      <c r="K213" s="4"/>
    </row>
    <row r="214" spans="3:11" x14ac:dyDescent="0.2">
      <c r="C214" s="4"/>
      <c r="D214" s="1"/>
      <c r="F214" s="10"/>
      <c r="K214" s="4"/>
    </row>
    <row r="215" spans="3:11" x14ac:dyDescent="0.2">
      <c r="C215" s="4"/>
      <c r="D215" s="1"/>
      <c r="F215" s="10"/>
      <c r="K215" s="4"/>
    </row>
    <row r="216" spans="3:11" x14ac:dyDescent="0.2">
      <c r="C216" s="4"/>
      <c r="D216" s="1"/>
      <c r="F216" s="10"/>
      <c r="K216" s="4"/>
    </row>
    <row r="217" spans="3:11" x14ac:dyDescent="0.2">
      <c r="C217" s="4"/>
      <c r="D217" s="1"/>
      <c r="F217" s="10"/>
      <c r="K217" s="4"/>
    </row>
    <row r="218" spans="3:11" x14ac:dyDescent="0.2">
      <c r="C218" s="4"/>
      <c r="D218" s="1"/>
      <c r="F218" s="10"/>
      <c r="K218" s="4"/>
    </row>
    <row r="219" spans="3:11" x14ac:dyDescent="0.2">
      <c r="C219" s="4"/>
      <c r="D219" s="1"/>
      <c r="F219" s="10"/>
      <c r="K219" s="4"/>
    </row>
    <row r="220" spans="3:11" x14ac:dyDescent="0.2">
      <c r="C220" s="4"/>
      <c r="D220" s="1"/>
      <c r="F220" s="10"/>
      <c r="K220" s="4"/>
    </row>
    <row r="221" spans="3:11" x14ac:dyDescent="0.2">
      <c r="C221" s="4"/>
      <c r="D221" s="1"/>
      <c r="F221" s="10"/>
      <c r="K221" s="4"/>
    </row>
    <row r="222" spans="3:11" x14ac:dyDescent="0.2">
      <c r="C222" s="4"/>
      <c r="D222" s="1"/>
      <c r="F222" s="10"/>
      <c r="K222" s="4"/>
    </row>
    <row r="223" spans="3:11" x14ac:dyDescent="0.2">
      <c r="C223" s="4"/>
      <c r="D223" s="1"/>
      <c r="F223" s="10"/>
      <c r="K223" s="4"/>
    </row>
    <row r="224" spans="3:11" x14ac:dyDescent="0.2">
      <c r="C224" s="4"/>
      <c r="D224" s="1"/>
      <c r="F224" s="10"/>
      <c r="K224" s="4"/>
    </row>
    <row r="225" spans="3:11" x14ac:dyDescent="0.2">
      <c r="C225" s="4"/>
      <c r="D225" s="1"/>
      <c r="F225" s="10"/>
      <c r="K225" s="4"/>
    </row>
    <row r="226" spans="3:11" x14ac:dyDescent="0.2">
      <c r="C226" s="4"/>
      <c r="D226" s="1"/>
      <c r="F226" s="10"/>
      <c r="K226" s="4"/>
    </row>
    <row r="227" spans="3:11" x14ac:dyDescent="0.2">
      <c r="C227" s="4"/>
      <c r="D227" s="1"/>
      <c r="F227" s="10"/>
      <c r="K227" s="4"/>
    </row>
    <row r="228" spans="3:11" x14ac:dyDescent="0.2">
      <c r="C228" s="4"/>
      <c r="D228" s="1"/>
      <c r="F228" s="10"/>
      <c r="K228" s="4"/>
    </row>
    <row r="229" spans="3:11" x14ac:dyDescent="0.2">
      <c r="C229" s="4"/>
      <c r="D229" s="1"/>
      <c r="F229" s="10"/>
      <c r="K229" s="4"/>
    </row>
    <row r="230" spans="3:11" x14ac:dyDescent="0.2">
      <c r="C230" s="4"/>
      <c r="D230" s="1"/>
      <c r="F230" s="10"/>
      <c r="K230" s="4"/>
    </row>
    <row r="231" spans="3:11" x14ac:dyDescent="0.2">
      <c r="C231" s="4"/>
      <c r="D231" s="1"/>
      <c r="F231" s="10"/>
      <c r="K231" s="4"/>
    </row>
    <row r="232" spans="3:11" x14ac:dyDescent="0.2">
      <c r="C232" s="4"/>
      <c r="D232" s="1"/>
      <c r="F232" s="10"/>
      <c r="K232" s="4"/>
    </row>
    <row r="233" spans="3:11" x14ac:dyDescent="0.2">
      <c r="C233" s="4"/>
      <c r="D233" s="1"/>
      <c r="F233" s="10"/>
      <c r="K233" s="4"/>
    </row>
    <row r="234" spans="3:11" x14ac:dyDescent="0.2">
      <c r="C234" s="4"/>
      <c r="D234" s="1"/>
      <c r="F234" s="10"/>
      <c r="K234" s="4"/>
    </row>
    <row r="235" spans="3:11" x14ac:dyDescent="0.2">
      <c r="C235" s="4"/>
      <c r="D235" s="1"/>
      <c r="F235" s="10"/>
      <c r="K235" s="4"/>
    </row>
    <row r="236" spans="3:11" x14ac:dyDescent="0.2">
      <c r="C236" s="4"/>
      <c r="D236" s="1"/>
      <c r="F236" s="10"/>
      <c r="K236" s="4"/>
    </row>
    <row r="237" spans="3:11" x14ac:dyDescent="0.2">
      <c r="C237" s="4"/>
      <c r="D237" s="1"/>
      <c r="F237" s="10"/>
      <c r="K237" s="4"/>
    </row>
    <row r="238" spans="3:11" x14ac:dyDescent="0.2">
      <c r="C238" s="4"/>
      <c r="D238" s="1"/>
      <c r="F238" s="10"/>
      <c r="K238" s="4"/>
    </row>
    <row r="239" spans="3:11" x14ac:dyDescent="0.2">
      <c r="C239" s="4"/>
      <c r="D239" s="1"/>
      <c r="F239" s="10"/>
      <c r="K239" s="4"/>
    </row>
    <row r="240" spans="3:11" x14ac:dyDescent="0.2">
      <c r="C240" s="4"/>
      <c r="D240" s="1"/>
      <c r="F240" s="10"/>
      <c r="K240" s="4"/>
    </row>
    <row r="241" spans="3:11" x14ac:dyDescent="0.2">
      <c r="C241" s="4"/>
      <c r="D241" s="1"/>
      <c r="F241" s="10"/>
      <c r="K241" s="4"/>
    </row>
    <row r="242" spans="3:11" x14ac:dyDescent="0.2">
      <c r="C242" s="4"/>
      <c r="D242" s="1"/>
      <c r="F242" s="10"/>
      <c r="K242" s="4"/>
    </row>
    <row r="243" spans="3:11" x14ac:dyDescent="0.2">
      <c r="C243" s="4"/>
      <c r="D243" s="1"/>
      <c r="F243" s="10"/>
      <c r="K243" s="4"/>
    </row>
    <row r="244" spans="3:11" x14ac:dyDescent="0.2">
      <c r="C244" s="4"/>
      <c r="D244" s="1"/>
      <c r="F244" s="10"/>
      <c r="K244" s="4"/>
    </row>
    <row r="245" spans="3:11" x14ac:dyDescent="0.2">
      <c r="C245" s="4"/>
      <c r="D245" s="1"/>
      <c r="F245" s="10"/>
      <c r="K245" s="4"/>
    </row>
    <row r="246" spans="3:11" x14ac:dyDescent="0.2">
      <c r="C246" s="4"/>
      <c r="D246" s="1"/>
      <c r="F246" s="10"/>
      <c r="K246" s="4"/>
    </row>
    <row r="247" spans="3:11" x14ac:dyDescent="0.2">
      <c r="C247" s="4"/>
      <c r="D247" s="1"/>
      <c r="F247" s="10"/>
      <c r="K247" s="4"/>
    </row>
    <row r="248" spans="3:11" x14ac:dyDescent="0.2">
      <c r="C248" s="4"/>
      <c r="D248" s="1"/>
      <c r="F248" s="10"/>
      <c r="K248" s="4"/>
    </row>
    <row r="249" spans="3:11" x14ac:dyDescent="0.2">
      <c r="C249" s="4"/>
      <c r="D249" s="1"/>
      <c r="F249" s="10"/>
      <c r="K249" s="4"/>
    </row>
    <row r="250" spans="3:11" x14ac:dyDescent="0.2">
      <c r="C250" s="4"/>
      <c r="D250" s="1"/>
      <c r="F250" s="10"/>
      <c r="K250" s="4"/>
    </row>
    <row r="251" spans="3:11" x14ac:dyDescent="0.2">
      <c r="C251" s="4"/>
      <c r="D251" s="1"/>
      <c r="F251" s="10"/>
      <c r="K251" s="4"/>
    </row>
    <row r="252" spans="3:11" x14ac:dyDescent="0.2">
      <c r="C252" s="4"/>
      <c r="D252" s="1"/>
      <c r="F252" s="10"/>
      <c r="K252" s="4"/>
    </row>
    <row r="253" spans="3:11" x14ac:dyDescent="0.2">
      <c r="C253" s="4"/>
      <c r="D253" s="1"/>
      <c r="F253" s="10"/>
      <c r="K253" s="4"/>
    </row>
    <row r="254" spans="3:11" x14ac:dyDescent="0.2">
      <c r="C254" s="4"/>
      <c r="D254" s="1"/>
      <c r="F254" s="10"/>
      <c r="K254" s="4"/>
    </row>
    <row r="255" spans="3:11" x14ac:dyDescent="0.2">
      <c r="C255" s="4"/>
      <c r="D255" s="1"/>
      <c r="F255" s="10"/>
      <c r="K255" s="4"/>
    </row>
    <row r="256" spans="3:11" x14ac:dyDescent="0.2">
      <c r="C256" s="4"/>
      <c r="D256" s="1"/>
      <c r="F256" s="10"/>
      <c r="K256" s="4"/>
    </row>
    <row r="257" spans="3:11" x14ac:dyDescent="0.2">
      <c r="C257" s="4"/>
      <c r="D257" s="1"/>
      <c r="F257" s="10"/>
      <c r="K257" s="4"/>
    </row>
    <row r="258" spans="3:11" x14ac:dyDescent="0.2">
      <c r="C258" s="4"/>
      <c r="D258" s="1"/>
      <c r="F258" s="10"/>
      <c r="K258" s="4"/>
    </row>
    <row r="259" spans="3:11" x14ac:dyDescent="0.2">
      <c r="C259" s="4"/>
      <c r="D259" s="1"/>
      <c r="F259" s="10"/>
      <c r="K259" s="4"/>
    </row>
    <row r="260" spans="3:11" x14ac:dyDescent="0.2">
      <c r="C260" s="4"/>
      <c r="D260" s="1"/>
      <c r="F260" s="10"/>
      <c r="K260" s="4"/>
    </row>
    <row r="261" spans="3:11" x14ac:dyDescent="0.2">
      <c r="C261" s="4"/>
      <c r="D261" s="1"/>
      <c r="F261" s="10"/>
      <c r="K261" s="4"/>
    </row>
    <row r="262" spans="3:11" x14ac:dyDescent="0.2">
      <c r="C262" s="4"/>
      <c r="D262" s="1"/>
      <c r="F262" s="10"/>
      <c r="K262" s="4"/>
    </row>
    <row r="263" spans="3:11" x14ac:dyDescent="0.2">
      <c r="C263" s="4"/>
      <c r="D263" s="1"/>
      <c r="F263" s="10"/>
      <c r="K263" s="4"/>
    </row>
    <row r="264" spans="3:11" x14ac:dyDescent="0.2">
      <c r="C264" s="4"/>
      <c r="D264" s="1"/>
      <c r="F264" s="10"/>
      <c r="K264" s="4"/>
    </row>
    <row r="265" spans="3:11" x14ac:dyDescent="0.2">
      <c r="C265" s="4"/>
      <c r="D265" s="1"/>
      <c r="F265" s="10"/>
      <c r="K265" s="4"/>
    </row>
    <row r="266" spans="3:11" x14ac:dyDescent="0.2">
      <c r="C266" s="4"/>
      <c r="D266" s="1"/>
      <c r="F266" s="10"/>
      <c r="K266" s="4"/>
    </row>
    <row r="267" spans="3:11" x14ac:dyDescent="0.2">
      <c r="C267" s="4"/>
      <c r="D267" s="1"/>
      <c r="F267" s="10"/>
      <c r="K267" s="4"/>
    </row>
    <row r="268" spans="3:11" x14ac:dyDescent="0.2">
      <c r="C268" s="4"/>
      <c r="D268" s="1"/>
      <c r="F268" s="10"/>
      <c r="K268" s="4"/>
    </row>
    <row r="269" spans="3:11" x14ac:dyDescent="0.2">
      <c r="C269" s="4"/>
      <c r="D269" s="1"/>
      <c r="F269" s="10"/>
      <c r="K269" s="4"/>
    </row>
    <row r="270" spans="3:11" x14ac:dyDescent="0.2">
      <c r="C270" s="4"/>
      <c r="D270" s="1"/>
      <c r="F270" s="10"/>
      <c r="K270" s="4"/>
    </row>
    <row r="271" spans="3:11" x14ac:dyDescent="0.2">
      <c r="C271" s="4"/>
      <c r="D271" s="1"/>
      <c r="F271" s="10"/>
      <c r="K271" s="4"/>
    </row>
    <row r="272" spans="3:11" x14ac:dyDescent="0.2">
      <c r="C272" s="4"/>
      <c r="D272" s="1"/>
      <c r="F272" s="10"/>
      <c r="K272" s="4"/>
    </row>
    <row r="273" spans="3:11" x14ac:dyDescent="0.2">
      <c r="C273" s="4"/>
      <c r="D273" s="1"/>
      <c r="F273" s="10"/>
      <c r="K273" s="4"/>
    </row>
    <row r="274" spans="3:11" x14ac:dyDescent="0.2">
      <c r="C274" s="4"/>
      <c r="D274" s="1"/>
      <c r="F274" s="10"/>
      <c r="K274" s="4"/>
    </row>
    <row r="275" spans="3:11" x14ac:dyDescent="0.2">
      <c r="C275" s="4"/>
      <c r="D275" s="1"/>
      <c r="F275" s="10"/>
      <c r="K275" s="4"/>
    </row>
    <row r="276" spans="3:11" x14ac:dyDescent="0.2">
      <c r="C276" s="4"/>
      <c r="D276" s="1"/>
      <c r="F276" s="10"/>
      <c r="K276" s="4"/>
    </row>
    <row r="277" spans="3:11" x14ac:dyDescent="0.2">
      <c r="C277" s="4"/>
      <c r="D277" s="1"/>
      <c r="F277" s="10"/>
      <c r="K277" s="4"/>
    </row>
    <row r="278" spans="3:11" x14ac:dyDescent="0.2">
      <c r="C278" s="4"/>
      <c r="D278" s="1"/>
      <c r="F278" s="10"/>
      <c r="K278" s="4"/>
    </row>
    <row r="279" spans="3:11" x14ac:dyDescent="0.2">
      <c r="C279" s="4"/>
      <c r="D279" s="1"/>
      <c r="F279" s="10"/>
      <c r="K279" s="4"/>
    </row>
    <row r="280" spans="3:11" x14ac:dyDescent="0.2">
      <c r="C280" s="4"/>
      <c r="D280" s="1"/>
      <c r="F280" s="10"/>
      <c r="K280" s="4"/>
    </row>
    <row r="281" spans="3:11" x14ac:dyDescent="0.2">
      <c r="C281" s="4"/>
      <c r="D281" s="1"/>
      <c r="F281" s="10"/>
      <c r="K281" s="4"/>
    </row>
    <row r="282" spans="3:11" x14ac:dyDescent="0.2">
      <c r="C282" s="4"/>
      <c r="D282" s="1"/>
      <c r="F282" s="10"/>
      <c r="K282" s="4"/>
    </row>
    <row r="283" spans="3:11" x14ac:dyDescent="0.2">
      <c r="C283" s="4"/>
      <c r="D283" s="1"/>
      <c r="F283" s="10"/>
      <c r="K283" s="4"/>
    </row>
    <row r="284" spans="3:11" x14ac:dyDescent="0.2">
      <c r="C284" s="4"/>
      <c r="D284" s="1"/>
      <c r="F284" s="10"/>
      <c r="K284" s="4"/>
    </row>
    <row r="285" spans="3:11" x14ac:dyDescent="0.2">
      <c r="C285" s="4"/>
      <c r="D285" s="1"/>
      <c r="F285" s="10"/>
      <c r="K285" s="4"/>
    </row>
    <row r="286" spans="3:11" x14ac:dyDescent="0.2">
      <c r="C286" s="4"/>
      <c r="D286" s="1"/>
      <c r="F286" s="10"/>
      <c r="K286" s="4"/>
    </row>
    <row r="287" spans="3:11" x14ac:dyDescent="0.2">
      <c r="C287" s="4"/>
      <c r="D287" s="1"/>
      <c r="F287" s="10"/>
      <c r="K287" s="4"/>
    </row>
    <row r="288" spans="3:11" x14ac:dyDescent="0.2">
      <c r="C288" s="4"/>
      <c r="D288" s="1"/>
      <c r="F288" s="10"/>
      <c r="K288" s="4"/>
    </row>
    <row r="289" spans="3:11" x14ac:dyDescent="0.2">
      <c r="C289" s="4"/>
      <c r="D289" s="1"/>
      <c r="F289" s="10"/>
      <c r="K289" s="4"/>
    </row>
    <row r="290" spans="3:11" x14ac:dyDescent="0.2">
      <c r="C290" s="4"/>
      <c r="D290" s="1"/>
      <c r="F290" s="10"/>
      <c r="K290" s="4"/>
    </row>
    <row r="291" spans="3:11" x14ac:dyDescent="0.2">
      <c r="C291" s="4"/>
      <c r="D291" s="1"/>
      <c r="F291" s="10"/>
      <c r="K291" s="4"/>
    </row>
    <row r="292" spans="3:11" x14ac:dyDescent="0.2">
      <c r="C292" s="4"/>
      <c r="D292" s="1"/>
      <c r="F292" s="10"/>
      <c r="K292" s="4"/>
    </row>
    <row r="293" spans="3:11" x14ac:dyDescent="0.2">
      <c r="C293" s="4"/>
      <c r="D293" s="1"/>
      <c r="F293" s="10"/>
      <c r="K293" s="4"/>
    </row>
    <row r="294" spans="3:11" x14ac:dyDescent="0.2">
      <c r="C294" s="4"/>
      <c r="D294" s="1"/>
      <c r="F294" s="10"/>
      <c r="K294" s="4"/>
    </row>
    <row r="295" spans="3:11" x14ac:dyDescent="0.2">
      <c r="C295" s="4"/>
      <c r="D295" s="1"/>
      <c r="F295" s="10"/>
      <c r="K295" s="4"/>
    </row>
    <row r="296" spans="3:11" x14ac:dyDescent="0.2">
      <c r="C296" s="4"/>
      <c r="D296" s="1"/>
      <c r="F296" s="10"/>
      <c r="K296" s="4"/>
    </row>
    <row r="297" spans="3:11" x14ac:dyDescent="0.2">
      <c r="C297" s="4"/>
      <c r="D297" s="1"/>
      <c r="F297" s="10"/>
      <c r="K297" s="4"/>
    </row>
    <row r="298" spans="3:11" x14ac:dyDescent="0.2">
      <c r="C298" s="4"/>
      <c r="D298" s="1"/>
      <c r="F298" s="10"/>
      <c r="K298" s="4"/>
    </row>
    <row r="299" spans="3:11" x14ac:dyDescent="0.2">
      <c r="C299" s="4"/>
      <c r="D299" s="1"/>
      <c r="F299" s="10"/>
      <c r="K299" s="4"/>
    </row>
    <row r="300" spans="3:11" x14ac:dyDescent="0.2">
      <c r="C300" s="4"/>
      <c r="D300" s="1"/>
      <c r="F300" s="10"/>
      <c r="K300" s="4"/>
    </row>
    <row r="301" spans="3:11" x14ac:dyDescent="0.2">
      <c r="C301" s="4"/>
      <c r="D301" s="1"/>
      <c r="F301" s="10"/>
      <c r="K301" s="4"/>
    </row>
  </sheetData>
  <mergeCells count="4">
    <mergeCell ref="B3:H3"/>
    <mergeCell ref="J3:L3"/>
    <mergeCell ref="J1:K1"/>
    <mergeCell ref="J2:K2"/>
  </mergeCells>
  <pageMargins left="0.511811024" right="0.511811024" top="0.78740157499999996" bottom="0.78740157499999996" header="0.31496062000000002" footer="0.31496062000000002"/>
  <ignoredErrors>
    <ignoredError sqref="F9 D11" calculatedColumn="1"/>
  </ignoredErrors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D471-0090-9048-8FF2-D36816868DB0}">
  <dimension ref="A1:C14"/>
  <sheetViews>
    <sheetView zoomScale="287" workbookViewId="0">
      <selection activeCell="C8" sqref="C8"/>
    </sheetView>
  </sheetViews>
  <sheetFormatPr baseColWidth="10" defaultColWidth="11" defaultRowHeight="16" x14ac:dyDescent="0.2"/>
  <cols>
    <col min="1" max="1" width="11.83203125" customWidth="1"/>
    <col min="2" max="2" width="16.83203125" customWidth="1"/>
    <col min="3" max="3" width="19.6640625" customWidth="1"/>
  </cols>
  <sheetData>
    <row r="1" spans="1:3" ht="18" thickBot="1" x14ac:dyDescent="0.25">
      <c r="A1" s="26" t="s">
        <v>33</v>
      </c>
      <c r="B1" s="26" t="s">
        <v>10</v>
      </c>
      <c r="C1" s="26" t="s">
        <v>2</v>
      </c>
    </row>
    <row r="2" spans="1:3" x14ac:dyDescent="0.2">
      <c r="A2" s="27">
        <v>45763</v>
      </c>
      <c r="B2" s="28">
        <f>100000-71583.89</f>
        <v>28416.11</v>
      </c>
      <c r="C2" s="28">
        <f>B2</f>
        <v>28416.11</v>
      </c>
    </row>
    <row r="3" spans="1:3" x14ac:dyDescent="0.2">
      <c r="A3" s="29">
        <v>45769</v>
      </c>
      <c r="B3" s="30">
        <v>4200</v>
      </c>
      <c r="C3" s="30">
        <f t="shared" ref="C3:C9" si="0">C2-B3</f>
        <v>24216.11</v>
      </c>
    </row>
    <row r="4" spans="1:3" x14ac:dyDescent="0.2">
      <c r="A4" s="27">
        <v>45771</v>
      </c>
      <c r="B4" s="28">
        <v>3888</v>
      </c>
      <c r="C4" s="28">
        <f t="shared" si="0"/>
        <v>20328.11</v>
      </c>
    </row>
    <row r="5" spans="1:3" x14ac:dyDescent="0.2">
      <c r="A5" s="29">
        <v>45775</v>
      </c>
      <c r="B5" s="30">
        <v>13350</v>
      </c>
      <c r="C5" s="30">
        <f t="shared" si="0"/>
        <v>6978.1100000000006</v>
      </c>
    </row>
    <row r="6" spans="1:3" x14ac:dyDescent="0.2">
      <c r="A6" s="32">
        <v>45782</v>
      </c>
      <c r="B6" s="28">
        <v>2000</v>
      </c>
      <c r="C6" s="28">
        <f t="shared" si="0"/>
        <v>4978.1100000000006</v>
      </c>
    </row>
    <row r="7" spans="1:3" x14ac:dyDescent="0.2">
      <c r="A7" s="29">
        <v>45793</v>
      </c>
      <c r="B7" s="30">
        <v>200</v>
      </c>
      <c r="C7" s="30">
        <f t="shared" si="0"/>
        <v>4778.1100000000006</v>
      </c>
    </row>
    <row r="8" spans="1:3" x14ac:dyDescent="0.2">
      <c r="A8" s="32">
        <v>45805</v>
      </c>
      <c r="B8" s="28">
        <v>4778.1099999999997</v>
      </c>
      <c r="C8" s="28">
        <f t="shared" si="0"/>
        <v>0</v>
      </c>
    </row>
    <row r="9" spans="1:3" x14ac:dyDescent="0.2">
      <c r="A9" s="31">
        <v>45807</v>
      </c>
      <c r="B9" s="30">
        <v>-28000</v>
      </c>
      <c r="C9" s="30">
        <f t="shared" si="0"/>
        <v>28000</v>
      </c>
    </row>
    <row r="10" spans="1:3" x14ac:dyDescent="0.2">
      <c r="A10" s="32" t="s">
        <v>34</v>
      </c>
      <c r="B10" s="28"/>
      <c r="C10" s="28"/>
    </row>
    <row r="11" spans="1:3" x14ac:dyDescent="0.2">
      <c r="A11" s="31"/>
      <c r="B11" s="30"/>
      <c r="C11" s="30"/>
    </row>
    <row r="12" spans="1:3" x14ac:dyDescent="0.2">
      <c r="A12" s="32"/>
      <c r="B12" s="28"/>
      <c r="C12" s="28"/>
    </row>
    <row r="13" spans="1:3" x14ac:dyDescent="0.2">
      <c r="A13" s="31"/>
      <c r="B13" s="30"/>
      <c r="C13" s="30"/>
    </row>
    <row r="14" spans="1:3" x14ac:dyDescent="0.2">
      <c r="A14" s="32"/>
      <c r="B14" s="28"/>
      <c r="C14" s="28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Títulos Guilherme</vt:lpstr>
      <vt:lpstr>Títulos Lucas</vt:lpstr>
      <vt:lpstr>Acerto Valor Carro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Sahão Turquino</dc:creator>
  <cp:lastModifiedBy>Lucas Sahão Turquino</cp:lastModifiedBy>
  <dcterms:created xsi:type="dcterms:W3CDTF">2024-03-16T16:09:25Z</dcterms:created>
  <dcterms:modified xsi:type="dcterms:W3CDTF">2026-06-16T16:39:04Z</dcterms:modified>
</cp:coreProperties>
</file>