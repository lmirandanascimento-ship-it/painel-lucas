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ucasturquino/Library/CloudStorage/Dropbox/INVESTIMENTOS/"/>
    </mc:Choice>
  </mc:AlternateContent>
  <xr:revisionPtr revIDLastSave="0" documentId="13_ncr:1_{EEE40EC1-F31D-1C43-8E41-B5E1578F7AB0}" xr6:coauthVersionLast="47" xr6:coauthVersionMax="47" xr10:uidLastSave="{00000000-0000-0000-0000-000000000000}"/>
  <bookViews>
    <workbookView xWindow="0" yWindow="720" windowWidth="34200" windowHeight="19620" xr2:uid="{72460585-5388-434C-9CFF-AD544485A859}"/>
  </bookViews>
  <sheets>
    <sheet name="Tít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1" i="1" l="1"/>
  <c r="E8" i="1"/>
  <c r="E14" i="1"/>
  <c r="F9" i="1"/>
  <c r="F5" i="1" l="1"/>
  <c r="F11" i="1"/>
  <c r="F14" i="1"/>
  <c r="F6" i="1"/>
  <c r="F15" i="1"/>
  <c r="F8" i="1"/>
  <c r="J2" i="1"/>
  <c r="E13" i="1"/>
  <c r="F13" i="1" s="1"/>
  <c r="E12" i="1"/>
  <c r="F12" i="1" s="1"/>
  <c r="E10" i="1"/>
  <c r="F10" i="1" s="1"/>
  <c r="E7" i="1"/>
  <c r="F7" i="1" s="1"/>
  <c r="C2" i="1" l="1"/>
  <c r="D2" i="1" s="1"/>
  <c r="E2" i="1" l="1"/>
</calcChain>
</file>

<file path=xl/sharedStrings.xml><?xml version="1.0" encoding="utf-8"?>
<sst xmlns="http://schemas.openxmlformats.org/spreadsheetml/2006/main" count="60" uniqueCount="39">
  <si>
    <t>Tabela Recebíveis/Empréstimos iClothes/Quadra Homem</t>
  </si>
  <si>
    <t>Data Emp.</t>
  </si>
  <si>
    <t>Data Prevista para Pag.</t>
  </si>
  <si>
    <t>Emp. iClothes 1</t>
  </si>
  <si>
    <t>-</t>
  </si>
  <si>
    <t>Emp. iClothes 2</t>
  </si>
  <si>
    <t>Emp. Quadra 1</t>
  </si>
  <si>
    <t>Emp. Quadra 2</t>
  </si>
  <si>
    <t>Emp. Quadra 3</t>
  </si>
  <si>
    <t>Emp. Quadra 4</t>
  </si>
  <si>
    <t>Saldo Devedor</t>
  </si>
  <si>
    <t>Parcela Juros</t>
  </si>
  <si>
    <t>Títulos</t>
  </si>
  <si>
    <t>Recorrência</t>
  </si>
  <si>
    <t>Mensal</t>
  </si>
  <si>
    <t>Utilizado</t>
  </si>
  <si>
    <t>Utilização %</t>
  </si>
  <si>
    <t>Disponível</t>
  </si>
  <si>
    <t>Valor Originário</t>
  </si>
  <si>
    <t>Emp. Quadra 5</t>
  </si>
  <si>
    <t>Tabela Pagamentos iClothes/Quadra Homem</t>
  </si>
  <si>
    <t>Data Pag.</t>
  </si>
  <si>
    <t>Quadra 1</t>
  </si>
  <si>
    <t>Total Pagamentos</t>
  </si>
  <si>
    <t>Valor Pagamento</t>
  </si>
  <si>
    <t>iClothes 2</t>
  </si>
  <si>
    <t>Quadra 4</t>
  </si>
  <si>
    <t>Emp. Quadra 6</t>
  </si>
  <si>
    <t>Emp. Quadra 8**</t>
  </si>
  <si>
    <t>s/j</t>
  </si>
  <si>
    <t>abater</t>
  </si>
  <si>
    <t>Quadra 8</t>
  </si>
  <si>
    <t>Emp. Quadra 9</t>
  </si>
  <si>
    <t>Emp. Quadra 7</t>
  </si>
  <si>
    <t>Emp. Quadra 10</t>
  </si>
  <si>
    <t>Quadra 6</t>
  </si>
  <si>
    <t>Emp. Quadra 2025</t>
  </si>
  <si>
    <t>2 parcelas</t>
  </si>
  <si>
    <t>31/12 e 31/01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</si>
</sst>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9" tint="0.7999816888943144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44" fontId="5" fillId="2" borderId="0" xfId="1" applyFont="1" applyFill="1" applyAlignment="1">
      <alignment wrapText="1"/>
    </xf>
    <xf numFmtId="164" fontId="5" fillId="2" borderId="0" xfId="0" applyNumberFormat="1" applyFont="1" applyFill="1" applyAlignment="1">
      <alignment wrapText="1"/>
    </xf>
    <xf numFmtId="10" fontId="5" fillId="2" borderId="0" xfId="0" applyNumberFormat="1" applyFont="1" applyFill="1" applyAlignment="1">
      <alignment horizontal="center" wrapText="1"/>
    </xf>
    <xf numFmtId="44" fontId="5" fillId="2" borderId="0" xfId="0" applyNumberFormat="1" applyFont="1" applyFill="1" applyAlignment="1">
      <alignment wrapText="1"/>
    </xf>
    <xf numFmtId="164" fontId="5" fillId="2" borderId="0" xfId="0" applyNumberFormat="1" applyFont="1" applyFill="1" applyAlignment="1">
      <alignment vertical="center" wrapText="1"/>
    </xf>
    <xf numFmtId="0" fontId="0" fillId="2" borderId="0" xfId="0" applyFill="1" applyAlignment="1">
      <alignment horizontal="left" wrapText="1"/>
    </xf>
    <xf numFmtId="0" fontId="1" fillId="0" borderId="0" xfId="0" applyFont="1"/>
    <xf numFmtId="0" fontId="4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2" borderId="4" xfId="0" applyNumberForma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2">
    <cellStyle name="Moeda" xfId="1" builtinId="4"/>
    <cellStyle name="Normal" xfId="0" builtinId="0"/>
  </cellStyles>
  <dxfs count="14"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9" tint="0.7999816888943144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A9734-A9C2-F94E-A169-8FA9473CE3B2}" name="Tabela3" displayName="Tabela3" ref="B4:H301" totalsRowShown="0" headerRowDxfId="13" dataDxfId="12">
  <autoFilter ref="B4:H301" xr:uid="{65AA9734-A9C2-F94E-A169-8FA9473CE3B2}"/>
  <sortState xmlns:xlrd2="http://schemas.microsoft.com/office/spreadsheetml/2017/richdata2" ref="B5:H301">
    <sortCondition ref="H4:H301"/>
  </sortState>
  <tableColumns count="7">
    <tableColumn id="1" xr3:uid="{C127FAF2-C522-6B48-B9BF-ACB828ADDBB0}" name="Títulos" dataDxfId="11"/>
    <tableColumn id="2" xr3:uid="{719B29DD-E3B9-BF4D-BC53-1D1C874918E7}" name="Data Emp." dataDxfId="10"/>
    <tableColumn id="3" xr3:uid="{677A0EC2-81E7-B14F-BAD1-DF6B523A8E19}" name="Valor Originário" dataDxfId="9"/>
    <tableColumn id="4" xr3:uid="{3C754028-E933-EF4F-9775-7AEB0996D9B5}" name="Saldo Devedor" dataDxfId="8"/>
    <tableColumn id="5" xr3:uid="{7C0BFECB-FF03-274E-823A-F4FC2FBB1CB7}" name="Parcela Juros" dataDxfId="7"/>
    <tableColumn id="7" xr3:uid="{9B0E1C4B-EF91-4D42-8AB1-6ED6E17E9205}" name="Recorrência" dataDxfId="6"/>
    <tableColumn id="6" xr3:uid="{9817172D-93D5-A643-A169-5E5E74F5AA88}" name="Data Prevista para Pag." dataDxfId="5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8AA19-CE70-CE4B-A870-07799B002AF5}" name="Tabela32" displayName="Tabela32" ref="J4:L301" totalsRowShown="0" headerRowDxfId="4" dataDxfId="3">
  <autoFilter ref="J4:L301" xr:uid="{57C8AA19-CE70-CE4B-A870-07799B002AF5}"/>
  <tableColumns count="3">
    <tableColumn id="1" xr3:uid="{426929CF-3F8B-9C44-8497-19C2B1BCFE6A}" name="Títulos" dataDxfId="2"/>
    <tableColumn id="2" xr3:uid="{C6DB6B1F-D603-CC46-A575-6F71849C5D46}" name="Data Pag." dataDxfId="1"/>
    <tableColumn id="3" xr3:uid="{9A7A9E89-89F4-1F45-881F-74AF2D700042}" name="Valor Pagamento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530B-7474-C341-84B6-A013F6663215}">
  <dimension ref="A1:O301"/>
  <sheetViews>
    <sheetView tabSelected="1" zoomScale="164" zoomScaleNormal="130" workbookViewId="0">
      <selection activeCell="D19" sqref="D19"/>
    </sheetView>
  </sheetViews>
  <sheetFormatPr baseColWidth="10" defaultColWidth="11.1640625" defaultRowHeight="16" x14ac:dyDescent="0.2"/>
  <cols>
    <col min="1" max="1" width="7.1640625" style="14" customWidth="1"/>
    <col min="2" max="2" width="16.5" customWidth="1"/>
    <col min="3" max="3" width="10.6640625" customWidth="1"/>
    <col min="4" max="4" width="14.1640625" customWidth="1"/>
    <col min="5" max="6" width="15.6640625" customWidth="1"/>
    <col min="7" max="7" width="12.1640625" style="7" customWidth="1"/>
    <col min="8" max="8" width="13.1640625" style="6" customWidth="1"/>
    <col min="9" max="9" width="6" style="14" customWidth="1"/>
    <col min="11" max="11" width="11" bestFit="1" customWidth="1"/>
    <col min="12" max="12" width="13.1640625" customWidth="1"/>
    <col min="13" max="13" width="10.6640625" style="14"/>
  </cols>
  <sheetData>
    <row r="1" spans="2:15" s="12" customFormat="1" ht="14" customHeight="1" x14ac:dyDescent="0.2">
      <c r="B1" s="15"/>
      <c r="C1" s="15" t="s">
        <v>15</v>
      </c>
      <c r="D1" s="15" t="s">
        <v>16</v>
      </c>
      <c r="E1" s="15" t="s">
        <v>17</v>
      </c>
      <c r="F1" s="16"/>
      <c r="G1" s="17"/>
      <c r="H1" s="18"/>
      <c r="J1" s="31" t="s">
        <v>23</v>
      </c>
      <c r="K1" s="31"/>
    </row>
    <row r="2" spans="2:15" s="13" customFormat="1" ht="33" customHeight="1" thickBot="1" x14ac:dyDescent="0.25">
      <c r="B2" s="19">
        <v>200000</v>
      </c>
      <c r="C2" s="20">
        <f>SUM(Tabela3[Saldo Devedor])</f>
        <v>272735.57</v>
      </c>
      <c r="D2" s="21">
        <f>IFERROR(C2/B2,0)</f>
        <v>1.36367785</v>
      </c>
      <c r="E2" s="22">
        <f>B2-C2</f>
        <v>-72735.570000000007</v>
      </c>
      <c r="F2" s="20"/>
      <c r="G2" s="23"/>
      <c r="H2" s="24"/>
      <c r="J2" s="32">
        <f>SUM(Tabela32[Valor Pagamento])</f>
        <v>59065</v>
      </c>
      <c r="K2" s="33"/>
    </row>
    <row r="3" spans="2:15" ht="33" customHeight="1" thickBot="1" x14ac:dyDescent="0.25">
      <c r="B3" s="28" t="s">
        <v>0</v>
      </c>
      <c r="C3" s="29"/>
      <c r="D3" s="29"/>
      <c r="E3" s="29"/>
      <c r="F3" s="29"/>
      <c r="G3" s="29"/>
      <c r="H3" s="30"/>
      <c r="J3" s="28" t="s">
        <v>20</v>
      </c>
      <c r="K3" s="29"/>
      <c r="L3" s="29"/>
    </row>
    <row r="4" spans="2:15" ht="37.25" customHeight="1" x14ac:dyDescent="0.2">
      <c r="B4" s="5" t="s">
        <v>12</v>
      </c>
      <c r="C4" s="2" t="s">
        <v>1</v>
      </c>
      <c r="D4" s="5" t="s">
        <v>18</v>
      </c>
      <c r="E4" s="2" t="s">
        <v>10</v>
      </c>
      <c r="F4" s="2" t="s">
        <v>11</v>
      </c>
      <c r="G4" s="9" t="s">
        <v>13</v>
      </c>
      <c r="H4" s="2" t="s">
        <v>2</v>
      </c>
      <c r="J4" s="5" t="s">
        <v>12</v>
      </c>
      <c r="K4" s="5" t="s">
        <v>21</v>
      </c>
      <c r="L4" s="5" t="s">
        <v>24</v>
      </c>
    </row>
    <row r="5" spans="2:15" x14ac:dyDescent="0.2">
      <c r="B5" t="s">
        <v>32</v>
      </c>
      <c r="C5" s="4">
        <v>45540</v>
      </c>
      <c r="D5" s="1">
        <v>40000</v>
      </c>
      <c r="E5" s="1">
        <v>40000</v>
      </c>
      <c r="F5" s="10">
        <f>Tabela3[[#This Row],[Saldo Devedor]]*2%</f>
        <v>800</v>
      </c>
      <c r="G5" s="8" t="s">
        <v>14</v>
      </c>
      <c r="H5" s="6">
        <v>5</v>
      </c>
      <c r="J5" t="s">
        <v>22</v>
      </c>
      <c r="K5" s="3">
        <v>45407</v>
      </c>
      <c r="L5" s="1">
        <v>1507</v>
      </c>
    </row>
    <row r="6" spans="2:15" x14ac:dyDescent="0.2">
      <c r="B6" t="s">
        <v>33</v>
      </c>
      <c r="C6" s="4">
        <v>45449</v>
      </c>
      <c r="D6" s="1">
        <v>10000</v>
      </c>
      <c r="E6" s="1">
        <v>10000</v>
      </c>
      <c r="F6" s="10">
        <f>Tabela3[[#This Row],[Saldo Devedor]]*2%</f>
        <v>200</v>
      </c>
      <c r="G6" s="8" t="s">
        <v>14</v>
      </c>
      <c r="H6" s="6">
        <v>6</v>
      </c>
      <c r="J6" t="s">
        <v>22</v>
      </c>
      <c r="K6" s="3">
        <v>45415</v>
      </c>
      <c r="L6" s="1">
        <v>847</v>
      </c>
    </row>
    <row r="7" spans="2:15" x14ac:dyDescent="0.2">
      <c r="B7" t="s">
        <v>3</v>
      </c>
      <c r="C7" s="3" t="s">
        <v>4</v>
      </c>
      <c r="D7" s="1">
        <v>28265.57</v>
      </c>
      <c r="E7" s="1">
        <f>D7</f>
        <v>28265.57</v>
      </c>
      <c r="F7" s="10">
        <f>Tabela3[[#This Row],[Saldo Devedor]]*1.8%</f>
        <v>508.78026000000006</v>
      </c>
      <c r="G7" s="8" t="s">
        <v>14</v>
      </c>
      <c r="H7" s="6">
        <v>10</v>
      </c>
      <c r="J7" t="s">
        <v>22</v>
      </c>
      <c r="K7" s="4">
        <v>45420</v>
      </c>
      <c r="L7" s="1">
        <v>149</v>
      </c>
      <c r="O7" s="10"/>
    </row>
    <row r="8" spans="2:15" x14ac:dyDescent="0.2">
      <c r="B8" t="s">
        <v>5</v>
      </c>
      <c r="C8" s="3">
        <v>44993</v>
      </c>
      <c r="D8" s="1">
        <v>30000</v>
      </c>
      <c r="E8" s="1">
        <f>D8-Tabela32[[#This Row],[Valor Pagamento]]</f>
        <v>28210</v>
      </c>
      <c r="F8" s="10">
        <f>Tabela3[[#This Row],[Saldo Devedor]]*2%</f>
        <v>564.20000000000005</v>
      </c>
      <c r="G8" s="8" t="s">
        <v>14</v>
      </c>
      <c r="H8" s="6">
        <v>10</v>
      </c>
      <c r="J8" t="s">
        <v>25</v>
      </c>
      <c r="K8" s="4">
        <v>45422</v>
      </c>
      <c r="L8" s="1">
        <v>1790</v>
      </c>
      <c r="O8" s="10"/>
    </row>
    <row r="9" spans="2:15" x14ac:dyDescent="0.2">
      <c r="B9" t="s">
        <v>34</v>
      </c>
      <c r="C9" s="4">
        <v>45547</v>
      </c>
      <c r="D9" s="1">
        <v>40000</v>
      </c>
      <c r="E9" s="1">
        <v>40000</v>
      </c>
      <c r="F9" s="10">
        <f>Tabela3[[#This Row],[Saldo Devedor]]*2%</f>
        <v>800</v>
      </c>
      <c r="G9" s="8" t="s">
        <v>14</v>
      </c>
      <c r="H9" s="6">
        <v>12</v>
      </c>
      <c r="J9" t="s">
        <v>26</v>
      </c>
      <c r="K9" s="4">
        <v>45433</v>
      </c>
      <c r="L9" s="1">
        <v>1170</v>
      </c>
      <c r="O9" s="10"/>
    </row>
    <row r="10" spans="2:15" x14ac:dyDescent="0.2">
      <c r="B10" t="s">
        <v>7</v>
      </c>
      <c r="C10" s="4">
        <v>45366</v>
      </c>
      <c r="D10" s="1">
        <v>40000</v>
      </c>
      <c r="E10" s="1">
        <f>D10</f>
        <v>40000</v>
      </c>
      <c r="F10" s="10">
        <f>Tabela3[[#This Row],[Saldo Devedor]]*2%</f>
        <v>800</v>
      </c>
      <c r="G10" s="8" t="s">
        <v>14</v>
      </c>
      <c r="H10" s="6">
        <v>15</v>
      </c>
      <c r="J10" t="s">
        <v>22</v>
      </c>
      <c r="K10" s="3">
        <v>45439</v>
      </c>
      <c r="L10" s="1">
        <v>1027</v>
      </c>
      <c r="O10" s="10"/>
    </row>
    <row r="11" spans="2:15" x14ac:dyDescent="0.2">
      <c r="B11" t="s">
        <v>9</v>
      </c>
      <c r="C11" s="4">
        <v>45400</v>
      </c>
      <c r="D11" s="1">
        <v>30000</v>
      </c>
      <c r="E11" s="1">
        <f>D11-L9-L12-L14</f>
        <v>20980</v>
      </c>
      <c r="F11" s="10">
        <f>Tabela3[[#This Row],[Saldo Devedor]]*2%</f>
        <v>419.6</v>
      </c>
      <c r="G11" s="8" t="s">
        <v>14</v>
      </c>
      <c r="H11" s="6">
        <v>18</v>
      </c>
      <c r="J11" t="s">
        <v>22</v>
      </c>
      <c r="K11" s="4">
        <v>45443</v>
      </c>
      <c r="L11" s="1">
        <v>925</v>
      </c>
      <c r="O11" s="10"/>
    </row>
    <row r="12" spans="2:15" x14ac:dyDescent="0.2">
      <c r="B12" t="s">
        <v>8</v>
      </c>
      <c r="C12" s="4">
        <v>45373</v>
      </c>
      <c r="D12" s="1">
        <v>22435</v>
      </c>
      <c r="E12" s="1">
        <f>D12</f>
        <v>22435</v>
      </c>
      <c r="F12" s="10">
        <f>Tabela3[[#This Row],[Saldo Devedor]]*2%</f>
        <v>448.7</v>
      </c>
      <c r="G12" s="8" t="s">
        <v>14</v>
      </c>
      <c r="H12" s="6">
        <v>22</v>
      </c>
      <c r="J12" t="s">
        <v>26</v>
      </c>
      <c r="K12" s="4">
        <v>45460</v>
      </c>
      <c r="L12" s="1">
        <v>3550</v>
      </c>
      <c r="O12" s="10"/>
    </row>
    <row r="13" spans="2:15" x14ac:dyDescent="0.2">
      <c r="B13" t="s">
        <v>19</v>
      </c>
      <c r="C13" s="4">
        <v>45406</v>
      </c>
      <c r="D13" s="1">
        <v>20000</v>
      </c>
      <c r="E13" s="1">
        <f>Tabela3[[#This Row],[Valor Originário]]</f>
        <v>20000</v>
      </c>
      <c r="F13" s="10">
        <f>Tabela3[[#This Row],[Saldo Devedor]]*2%</f>
        <v>400</v>
      </c>
      <c r="G13" s="8" t="s">
        <v>14</v>
      </c>
      <c r="H13" s="6">
        <v>24</v>
      </c>
      <c r="J13" t="s">
        <v>22</v>
      </c>
      <c r="K13" s="4">
        <v>45477</v>
      </c>
      <c r="L13" s="1">
        <v>2700</v>
      </c>
    </row>
    <row r="14" spans="2:15" x14ac:dyDescent="0.2">
      <c r="B14" t="s">
        <v>6</v>
      </c>
      <c r="C14" s="3" t="s">
        <v>4</v>
      </c>
      <c r="D14" s="1">
        <v>30000</v>
      </c>
      <c r="E14" s="1">
        <f>30000-L5-L6-L7-L10-L11-L13</f>
        <v>22845</v>
      </c>
      <c r="F14" s="10">
        <f>Tabela3[[#This Row],[Saldo Devedor]]*2%</f>
        <v>456.90000000000003</v>
      </c>
      <c r="G14" s="8" t="s">
        <v>14</v>
      </c>
      <c r="H14" s="6">
        <v>25</v>
      </c>
      <c r="J14" t="s">
        <v>26</v>
      </c>
      <c r="K14" s="4">
        <v>45490</v>
      </c>
      <c r="L14" s="1">
        <v>4300</v>
      </c>
      <c r="O14" s="27"/>
    </row>
    <row r="15" spans="2:15" x14ac:dyDescent="0.2">
      <c r="B15" t="s">
        <v>27</v>
      </c>
      <c r="C15" s="4">
        <v>45443</v>
      </c>
      <c r="D15" s="1">
        <v>10000</v>
      </c>
      <c r="E15" s="1">
        <f>10000-L17</f>
        <v>0</v>
      </c>
      <c r="F15" s="10">
        <f>Tabela3[[#This Row],[Saldo Devedor]]*2%</f>
        <v>0</v>
      </c>
      <c r="G15" s="8" t="s">
        <v>14</v>
      </c>
      <c r="H15" s="6">
        <v>30</v>
      </c>
      <c r="J15" t="s">
        <v>31</v>
      </c>
      <c r="K15" s="4">
        <v>45516</v>
      </c>
      <c r="L15" s="1">
        <v>1000</v>
      </c>
    </row>
    <row r="16" spans="2:15" x14ac:dyDescent="0.2">
      <c r="B16" t="s">
        <v>28</v>
      </c>
      <c r="C16" s="4">
        <v>45512</v>
      </c>
      <c r="D16" s="1">
        <v>10600</v>
      </c>
      <c r="E16" s="1">
        <f>10600-L15-Tabela32[[#This Row],[Valor Pagamento]]</f>
        <v>0</v>
      </c>
      <c r="F16" s="10">
        <v>0</v>
      </c>
      <c r="G16" s="8" t="s">
        <v>29</v>
      </c>
      <c r="H16" s="6" t="s">
        <v>30</v>
      </c>
      <c r="J16" t="s">
        <v>31</v>
      </c>
      <c r="K16" s="4">
        <v>45649</v>
      </c>
      <c r="L16" s="1">
        <v>9600</v>
      </c>
    </row>
    <row r="17" spans="2:12" x14ac:dyDescent="0.2">
      <c r="C17" s="4"/>
      <c r="F17" s="11"/>
      <c r="J17" t="s">
        <v>35</v>
      </c>
      <c r="K17" s="4">
        <v>45649</v>
      </c>
      <c r="L17" s="1">
        <v>10000</v>
      </c>
    </row>
    <row r="18" spans="2:12" x14ac:dyDescent="0.2">
      <c r="B18" t="s">
        <v>36</v>
      </c>
      <c r="C18" s="4">
        <v>45961</v>
      </c>
      <c r="D18" s="1">
        <v>39000</v>
      </c>
      <c r="E18" s="1">
        <v>0</v>
      </c>
      <c r="F18" s="10"/>
      <c r="G18" s="7" t="s">
        <v>37</v>
      </c>
      <c r="H18" s="6" t="s">
        <v>38</v>
      </c>
      <c r="J18" t="s">
        <v>36</v>
      </c>
      <c r="K18" s="4">
        <v>46020</v>
      </c>
      <c r="L18" s="1">
        <v>20500</v>
      </c>
    </row>
    <row r="19" spans="2:12" x14ac:dyDescent="0.2">
      <c r="C19" s="4"/>
      <c r="E19" s="25"/>
      <c r="F19" s="11"/>
      <c r="K19" s="4"/>
      <c r="L19" s="1"/>
    </row>
    <row r="20" spans="2:12" x14ac:dyDescent="0.2">
      <c r="C20" s="4"/>
      <c r="E20" s="26"/>
      <c r="F20" s="11"/>
      <c r="K20" s="4"/>
      <c r="L20" s="1"/>
    </row>
    <row r="21" spans="2:12" x14ac:dyDescent="0.2">
      <c r="C21" s="4"/>
      <c r="F21" s="11"/>
      <c r="K21" s="4"/>
      <c r="L21" s="1"/>
    </row>
    <row r="22" spans="2:12" x14ac:dyDescent="0.2">
      <c r="C22" s="4"/>
      <c r="F22" s="11"/>
      <c r="K22" s="4"/>
      <c r="L22" s="1"/>
    </row>
    <row r="23" spans="2:12" x14ac:dyDescent="0.2">
      <c r="C23" s="4"/>
      <c r="F23" s="11"/>
      <c r="K23" s="4"/>
      <c r="L23" s="1"/>
    </row>
    <row r="24" spans="2:12" x14ac:dyDescent="0.2">
      <c r="C24" s="4"/>
      <c r="F24" s="11"/>
      <c r="K24" s="4"/>
      <c r="L24" s="1"/>
    </row>
    <row r="25" spans="2:12" x14ac:dyDescent="0.2">
      <c r="C25" s="4"/>
      <c r="F25" s="11"/>
      <c r="K25" s="4"/>
    </row>
    <row r="26" spans="2:12" x14ac:dyDescent="0.2">
      <c r="C26" s="4"/>
      <c r="F26" s="11"/>
      <c r="K26" s="4"/>
    </row>
    <row r="27" spans="2:12" x14ac:dyDescent="0.2">
      <c r="C27" s="4"/>
      <c r="F27" s="11"/>
      <c r="K27" s="4"/>
    </row>
    <row r="28" spans="2:12" x14ac:dyDescent="0.2">
      <c r="C28" s="4"/>
      <c r="F28" s="11"/>
      <c r="K28" s="4"/>
    </row>
    <row r="29" spans="2:12" x14ac:dyDescent="0.2">
      <c r="C29" s="4"/>
      <c r="F29" s="11"/>
      <c r="K29" s="4"/>
    </row>
    <row r="30" spans="2:12" x14ac:dyDescent="0.2">
      <c r="C30" s="4"/>
      <c r="F30" s="11"/>
      <c r="K30" s="4"/>
    </row>
    <row r="31" spans="2:12" x14ac:dyDescent="0.2">
      <c r="C31" s="4"/>
      <c r="F31" s="11"/>
      <c r="K31" s="4"/>
    </row>
    <row r="32" spans="2:12" x14ac:dyDescent="0.2">
      <c r="C32" s="4"/>
      <c r="F32" s="11"/>
      <c r="K32" s="4"/>
    </row>
    <row r="33" spans="3:11" x14ac:dyDescent="0.2">
      <c r="C33" s="4"/>
      <c r="F33" s="11"/>
      <c r="K33" s="4"/>
    </row>
    <row r="34" spans="3:11" x14ac:dyDescent="0.2">
      <c r="C34" s="4"/>
      <c r="F34" s="11"/>
      <c r="K34" s="4"/>
    </row>
    <row r="35" spans="3:11" x14ac:dyDescent="0.2">
      <c r="C35" s="4"/>
      <c r="F35" s="11"/>
      <c r="K35" s="4"/>
    </row>
    <row r="36" spans="3:11" x14ac:dyDescent="0.2">
      <c r="C36" s="4"/>
      <c r="F36" s="11"/>
      <c r="K36" s="4"/>
    </row>
    <row r="37" spans="3:11" x14ac:dyDescent="0.2">
      <c r="C37" s="4"/>
      <c r="F37" s="11"/>
      <c r="K37" s="4"/>
    </row>
    <row r="38" spans="3:11" x14ac:dyDescent="0.2">
      <c r="C38" s="4"/>
      <c r="F38" s="11"/>
      <c r="K38" s="4"/>
    </row>
    <row r="39" spans="3:11" x14ac:dyDescent="0.2">
      <c r="C39" s="4"/>
      <c r="F39" s="11"/>
      <c r="K39" s="4"/>
    </row>
    <row r="40" spans="3:11" x14ac:dyDescent="0.2">
      <c r="C40" s="4"/>
      <c r="F40" s="11"/>
      <c r="K40" s="4"/>
    </row>
    <row r="41" spans="3:11" x14ac:dyDescent="0.2">
      <c r="C41" s="4"/>
      <c r="F41" s="11"/>
      <c r="K41" s="4"/>
    </row>
    <row r="42" spans="3:11" x14ac:dyDescent="0.2">
      <c r="C42" s="4"/>
      <c r="F42" s="11"/>
      <c r="K42" s="4"/>
    </row>
    <row r="43" spans="3:11" x14ac:dyDescent="0.2">
      <c r="C43" s="4"/>
      <c r="F43" s="11"/>
      <c r="K43" s="4"/>
    </row>
    <row r="44" spans="3:11" x14ac:dyDescent="0.2">
      <c r="C44" s="4"/>
      <c r="F44" s="11"/>
      <c r="K44" s="4"/>
    </row>
    <row r="45" spans="3:11" x14ac:dyDescent="0.2">
      <c r="C45" s="4"/>
      <c r="F45" s="11"/>
      <c r="K45" s="4"/>
    </row>
    <row r="46" spans="3:11" x14ac:dyDescent="0.2">
      <c r="C46" s="4"/>
      <c r="F46" s="11"/>
      <c r="K46" s="4"/>
    </row>
    <row r="47" spans="3:11" x14ac:dyDescent="0.2">
      <c r="C47" s="4"/>
      <c r="F47" s="11"/>
      <c r="K47" s="4"/>
    </row>
    <row r="48" spans="3:11" x14ac:dyDescent="0.2">
      <c r="C48" s="4"/>
      <c r="F48" s="11"/>
      <c r="K48" s="4"/>
    </row>
    <row r="49" spans="3:11" x14ac:dyDescent="0.2">
      <c r="C49" s="4"/>
      <c r="F49" s="11"/>
      <c r="K49" s="4"/>
    </row>
    <row r="50" spans="3:11" x14ac:dyDescent="0.2">
      <c r="C50" s="4"/>
      <c r="F50" s="11"/>
      <c r="K50" s="4"/>
    </row>
    <row r="51" spans="3:11" x14ac:dyDescent="0.2">
      <c r="C51" s="4"/>
      <c r="F51" s="11"/>
      <c r="K51" s="4"/>
    </row>
    <row r="52" spans="3:11" x14ac:dyDescent="0.2">
      <c r="C52" s="4"/>
      <c r="F52" s="11"/>
      <c r="K52" s="4"/>
    </row>
    <row r="53" spans="3:11" x14ac:dyDescent="0.2">
      <c r="C53" s="4"/>
      <c r="F53" s="11"/>
      <c r="K53" s="4"/>
    </row>
    <row r="54" spans="3:11" x14ac:dyDescent="0.2">
      <c r="C54" s="4"/>
      <c r="F54" s="11"/>
      <c r="K54" s="4"/>
    </row>
    <row r="55" spans="3:11" x14ac:dyDescent="0.2">
      <c r="C55" s="4"/>
      <c r="F55" s="11"/>
      <c r="K55" s="4"/>
    </row>
    <row r="56" spans="3:11" x14ac:dyDescent="0.2">
      <c r="C56" s="4"/>
      <c r="F56" s="11"/>
      <c r="K56" s="4"/>
    </row>
    <row r="57" spans="3:11" x14ac:dyDescent="0.2">
      <c r="C57" s="4"/>
      <c r="F57" s="11"/>
      <c r="K57" s="4"/>
    </row>
    <row r="58" spans="3:11" x14ac:dyDescent="0.2">
      <c r="C58" s="4"/>
      <c r="F58" s="11"/>
      <c r="K58" s="4"/>
    </row>
    <row r="59" spans="3:11" x14ac:dyDescent="0.2">
      <c r="C59" s="4"/>
      <c r="F59" s="11"/>
      <c r="K59" s="4"/>
    </row>
    <row r="60" spans="3:11" x14ac:dyDescent="0.2">
      <c r="C60" s="4"/>
      <c r="F60" s="11"/>
      <c r="K60" s="4"/>
    </row>
    <row r="61" spans="3:11" x14ac:dyDescent="0.2">
      <c r="C61" s="4"/>
      <c r="F61" s="11"/>
      <c r="K61" s="4"/>
    </row>
    <row r="62" spans="3:11" x14ac:dyDescent="0.2">
      <c r="C62" s="4"/>
      <c r="F62" s="11"/>
      <c r="K62" s="4"/>
    </row>
    <row r="63" spans="3:11" x14ac:dyDescent="0.2">
      <c r="C63" s="4"/>
      <c r="F63" s="11"/>
      <c r="K63" s="4"/>
    </row>
    <row r="64" spans="3:11" x14ac:dyDescent="0.2">
      <c r="C64" s="4"/>
      <c r="F64" s="11"/>
      <c r="K64" s="4"/>
    </row>
    <row r="65" spans="3:11" x14ac:dyDescent="0.2">
      <c r="C65" s="4"/>
      <c r="F65" s="11"/>
      <c r="K65" s="4"/>
    </row>
    <row r="66" spans="3:11" x14ac:dyDescent="0.2">
      <c r="C66" s="4"/>
      <c r="F66" s="11"/>
      <c r="K66" s="4"/>
    </row>
    <row r="67" spans="3:11" x14ac:dyDescent="0.2">
      <c r="C67" s="4"/>
      <c r="F67" s="11"/>
      <c r="K67" s="4"/>
    </row>
    <row r="68" spans="3:11" x14ac:dyDescent="0.2">
      <c r="C68" s="4"/>
      <c r="F68" s="11"/>
      <c r="K68" s="4"/>
    </row>
    <row r="69" spans="3:11" x14ac:dyDescent="0.2">
      <c r="C69" s="4"/>
      <c r="F69" s="11"/>
      <c r="K69" s="4"/>
    </row>
    <row r="70" spans="3:11" x14ac:dyDescent="0.2">
      <c r="C70" s="4"/>
      <c r="F70" s="11"/>
      <c r="K70" s="4"/>
    </row>
    <row r="71" spans="3:11" x14ac:dyDescent="0.2">
      <c r="C71" s="4"/>
      <c r="F71" s="11"/>
      <c r="K71" s="4"/>
    </row>
    <row r="72" spans="3:11" x14ac:dyDescent="0.2">
      <c r="C72" s="4"/>
      <c r="F72" s="11"/>
      <c r="K72" s="4"/>
    </row>
    <row r="73" spans="3:11" x14ac:dyDescent="0.2">
      <c r="C73" s="4"/>
      <c r="F73" s="11"/>
      <c r="K73" s="4"/>
    </row>
    <row r="74" spans="3:11" x14ac:dyDescent="0.2">
      <c r="C74" s="4"/>
      <c r="F74" s="11"/>
      <c r="K74" s="4"/>
    </row>
    <row r="75" spans="3:11" x14ac:dyDescent="0.2">
      <c r="C75" s="4"/>
      <c r="F75" s="11"/>
      <c r="K75" s="4"/>
    </row>
    <row r="76" spans="3:11" x14ac:dyDescent="0.2">
      <c r="C76" s="4"/>
      <c r="F76" s="11"/>
      <c r="K76" s="4"/>
    </row>
    <row r="77" spans="3:11" x14ac:dyDescent="0.2">
      <c r="C77" s="4"/>
      <c r="F77" s="11"/>
      <c r="K77" s="4"/>
    </row>
    <row r="78" spans="3:11" x14ac:dyDescent="0.2">
      <c r="C78" s="4"/>
      <c r="F78" s="11"/>
      <c r="K78" s="4"/>
    </row>
    <row r="79" spans="3:11" x14ac:dyDescent="0.2">
      <c r="C79" s="4"/>
      <c r="F79" s="11"/>
      <c r="K79" s="4"/>
    </row>
    <row r="80" spans="3:11" x14ac:dyDescent="0.2">
      <c r="C80" s="4"/>
      <c r="F80" s="11"/>
      <c r="K80" s="4"/>
    </row>
    <row r="81" spans="3:11" x14ac:dyDescent="0.2">
      <c r="C81" s="4"/>
      <c r="F81" s="11"/>
      <c r="K81" s="4"/>
    </row>
    <row r="82" spans="3:11" x14ac:dyDescent="0.2">
      <c r="C82" s="4"/>
      <c r="F82" s="11"/>
      <c r="K82" s="4"/>
    </row>
    <row r="83" spans="3:11" x14ac:dyDescent="0.2">
      <c r="C83" s="4"/>
      <c r="F83" s="11"/>
      <c r="K83" s="4"/>
    </row>
    <row r="84" spans="3:11" x14ac:dyDescent="0.2">
      <c r="C84" s="4"/>
      <c r="F84" s="11"/>
      <c r="K84" s="4"/>
    </row>
    <row r="85" spans="3:11" x14ac:dyDescent="0.2">
      <c r="C85" s="4"/>
      <c r="F85" s="11"/>
      <c r="K85" s="4"/>
    </row>
    <row r="86" spans="3:11" x14ac:dyDescent="0.2">
      <c r="C86" s="4"/>
      <c r="F86" s="11"/>
      <c r="K86" s="4"/>
    </row>
    <row r="87" spans="3:11" x14ac:dyDescent="0.2">
      <c r="C87" s="4"/>
      <c r="F87" s="11"/>
      <c r="K87" s="4"/>
    </row>
    <row r="88" spans="3:11" x14ac:dyDescent="0.2">
      <c r="C88" s="4"/>
      <c r="F88" s="11"/>
      <c r="K88" s="4"/>
    </row>
    <row r="89" spans="3:11" x14ac:dyDescent="0.2">
      <c r="C89" s="4"/>
      <c r="F89" s="11"/>
      <c r="K89" s="4"/>
    </row>
    <row r="90" spans="3:11" x14ac:dyDescent="0.2">
      <c r="C90" s="4"/>
      <c r="F90" s="11"/>
      <c r="K90" s="4"/>
    </row>
    <row r="91" spans="3:11" x14ac:dyDescent="0.2">
      <c r="C91" s="4"/>
      <c r="F91" s="11"/>
      <c r="K91" s="4"/>
    </row>
    <row r="92" spans="3:11" x14ac:dyDescent="0.2">
      <c r="C92" s="4"/>
      <c r="F92" s="11"/>
      <c r="K92" s="4"/>
    </row>
    <row r="93" spans="3:11" x14ac:dyDescent="0.2">
      <c r="C93" s="4"/>
      <c r="F93" s="11"/>
      <c r="K93" s="4"/>
    </row>
    <row r="94" spans="3:11" x14ac:dyDescent="0.2">
      <c r="C94" s="4"/>
      <c r="F94" s="11"/>
      <c r="K94" s="4"/>
    </row>
    <row r="95" spans="3:11" x14ac:dyDescent="0.2">
      <c r="C95" s="4"/>
      <c r="F95" s="11"/>
      <c r="K95" s="4"/>
    </row>
    <row r="96" spans="3:11" x14ac:dyDescent="0.2">
      <c r="C96" s="4"/>
      <c r="F96" s="11"/>
      <c r="K96" s="4"/>
    </row>
    <row r="97" spans="3:11" x14ac:dyDescent="0.2">
      <c r="C97" s="4"/>
      <c r="F97" s="11"/>
      <c r="K97" s="4"/>
    </row>
    <row r="98" spans="3:11" x14ac:dyDescent="0.2">
      <c r="C98" s="4"/>
      <c r="F98" s="11"/>
      <c r="K98" s="4"/>
    </row>
    <row r="99" spans="3:11" x14ac:dyDescent="0.2">
      <c r="C99" s="4"/>
      <c r="F99" s="11"/>
      <c r="K99" s="4"/>
    </row>
    <row r="100" spans="3:11" x14ac:dyDescent="0.2">
      <c r="C100" s="4"/>
      <c r="F100" s="11"/>
      <c r="K100" s="4"/>
    </row>
    <row r="101" spans="3:11" x14ac:dyDescent="0.2">
      <c r="C101" s="4"/>
      <c r="F101" s="11"/>
      <c r="K101" s="4"/>
    </row>
    <row r="102" spans="3:11" x14ac:dyDescent="0.2">
      <c r="C102" s="4"/>
      <c r="F102" s="11"/>
      <c r="K102" s="4"/>
    </row>
    <row r="103" spans="3:11" x14ac:dyDescent="0.2">
      <c r="C103" s="4"/>
      <c r="F103" s="11"/>
      <c r="K103" s="4"/>
    </row>
    <row r="104" spans="3:11" x14ac:dyDescent="0.2">
      <c r="C104" s="4"/>
      <c r="F104" s="11"/>
      <c r="K104" s="4"/>
    </row>
    <row r="105" spans="3:11" x14ac:dyDescent="0.2">
      <c r="C105" s="4"/>
      <c r="F105" s="11"/>
      <c r="K105" s="4"/>
    </row>
    <row r="106" spans="3:11" x14ac:dyDescent="0.2">
      <c r="C106" s="4"/>
      <c r="F106" s="11"/>
      <c r="K106" s="4"/>
    </row>
    <row r="107" spans="3:11" x14ac:dyDescent="0.2">
      <c r="C107" s="4"/>
      <c r="F107" s="11"/>
      <c r="K107" s="4"/>
    </row>
    <row r="108" spans="3:11" x14ac:dyDescent="0.2">
      <c r="C108" s="4"/>
      <c r="F108" s="11"/>
      <c r="K108" s="4"/>
    </row>
    <row r="109" spans="3:11" x14ac:dyDescent="0.2">
      <c r="C109" s="4"/>
      <c r="F109" s="11"/>
      <c r="K109" s="4"/>
    </row>
    <row r="110" spans="3:11" x14ac:dyDescent="0.2">
      <c r="C110" s="4"/>
      <c r="F110" s="11"/>
      <c r="K110" s="4"/>
    </row>
    <row r="111" spans="3:11" x14ac:dyDescent="0.2">
      <c r="C111" s="4"/>
      <c r="F111" s="11"/>
      <c r="K111" s="4"/>
    </row>
    <row r="112" spans="3:11" x14ac:dyDescent="0.2">
      <c r="C112" s="4"/>
      <c r="F112" s="11"/>
      <c r="K112" s="4"/>
    </row>
    <row r="113" spans="3:11" x14ac:dyDescent="0.2">
      <c r="C113" s="4"/>
      <c r="F113" s="11"/>
      <c r="K113" s="4"/>
    </row>
    <row r="114" spans="3:11" x14ac:dyDescent="0.2">
      <c r="C114" s="4"/>
      <c r="F114" s="11"/>
      <c r="K114" s="4"/>
    </row>
    <row r="115" spans="3:11" x14ac:dyDescent="0.2">
      <c r="C115" s="4"/>
      <c r="F115" s="11"/>
      <c r="K115" s="4"/>
    </row>
    <row r="116" spans="3:11" x14ac:dyDescent="0.2">
      <c r="C116" s="4"/>
      <c r="F116" s="11"/>
      <c r="K116" s="4"/>
    </row>
    <row r="117" spans="3:11" x14ac:dyDescent="0.2">
      <c r="C117" s="4"/>
      <c r="F117" s="11"/>
      <c r="K117" s="4"/>
    </row>
    <row r="118" spans="3:11" x14ac:dyDescent="0.2">
      <c r="C118" s="4"/>
      <c r="F118" s="11"/>
      <c r="K118" s="4"/>
    </row>
    <row r="119" spans="3:11" x14ac:dyDescent="0.2">
      <c r="C119" s="4"/>
      <c r="F119" s="11"/>
      <c r="K119" s="4"/>
    </row>
    <row r="120" spans="3:11" x14ac:dyDescent="0.2">
      <c r="C120" s="4"/>
      <c r="F120" s="11"/>
      <c r="K120" s="4"/>
    </row>
    <row r="121" spans="3:11" x14ac:dyDescent="0.2">
      <c r="C121" s="4"/>
      <c r="F121" s="11"/>
      <c r="K121" s="4"/>
    </row>
    <row r="122" spans="3:11" x14ac:dyDescent="0.2">
      <c r="C122" s="4"/>
      <c r="F122" s="11"/>
      <c r="K122" s="4"/>
    </row>
    <row r="123" spans="3:11" x14ac:dyDescent="0.2">
      <c r="C123" s="4"/>
      <c r="F123" s="11"/>
      <c r="K123" s="4"/>
    </row>
    <row r="124" spans="3:11" x14ac:dyDescent="0.2">
      <c r="C124" s="4"/>
      <c r="F124" s="11"/>
      <c r="K124" s="4"/>
    </row>
    <row r="125" spans="3:11" x14ac:dyDescent="0.2">
      <c r="C125" s="4"/>
      <c r="F125" s="11"/>
      <c r="K125" s="4"/>
    </row>
    <row r="126" spans="3:11" x14ac:dyDescent="0.2">
      <c r="C126" s="4"/>
      <c r="F126" s="11"/>
      <c r="K126" s="4"/>
    </row>
    <row r="127" spans="3:11" x14ac:dyDescent="0.2">
      <c r="C127" s="4"/>
      <c r="F127" s="11"/>
      <c r="K127" s="4"/>
    </row>
    <row r="128" spans="3:11" x14ac:dyDescent="0.2">
      <c r="C128" s="4"/>
      <c r="F128" s="11"/>
      <c r="K128" s="4"/>
    </row>
    <row r="129" spans="3:11" x14ac:dyDescent="0.2">
      <c r="C129" s="4"/>
      <c r="F129" s="11"/>
      <c r="K129" s="4"/>
    </row>
    <row r="130" spans="3:11" x14ac:dyDescent="0.2">
      <c r="C130" s="4"/>
      <c r="F130" s="11"/>
      <c r="K130" s="4"/>
    </row>
    <row r="131" spans="3:11" x14ac:dyDescent="0.2">
      <c r="C131" s="4"/>
      <c r="F131" s="11"/>
      <c r="K131" s="4"/>
    </row>
    <row r="132" spans="3:11" x14ac:dyDescent="0.2">
      <c r="C132" s="4"/>
      <c r="F132" s="11"/>
      <c r="K132" s="4"/>
    </row>
    <row r="133" spans="3:11" x14ac:dyDescent="0.2">
      <c r="C133" s="4"/>
      <c r="F133" s="11"/>
      <c r="K133" s="4"/>
    </row>
    <row r="134" spans="3:11" x14ac:dyDescent="0.2">
      <c r="C134" s="4"/>
      <c r="F134" s="11"/>
      <c r="K134" s="4"/>
    </row>
    <row r="135" spans="3:11" x14ac:dyDescent="0.2">
      <c r="C135" s="4"/>
      <c r="F135" s="11"/>
      <c r="K135" s="4"/>
    </row>
    <row r="136" spans="3:11" x14ac:dyDescent="0.2">
      <c r="C136" s="4"/>
      <c r="F136" s="11"/>
      <c r="K136" s="4"/>
    </row>
    <row r="137" spans="3:11" x14ac:dyDescent="0.2">
      <c r="C137" s="4"/>
      <c r="F137" s="11"/>
      <c r="K137" s="4"/>
    </row>
    <row r="138" spans="3:11" x14ac:dyDescent="0.2">
      <c r="C138" s="4"/>
      <c r="F138" s="11"/>
      <c r="K138" s="4"/>
    </row>
    <row r="139" spans="3:11" x14ac:dyDescent="0.2">
      <c r="C139" s="4"/>
      <c r="F139" s="11"/>
      <c r="K139" s="4"/>
    </row>
    <row r="140" spans="3:11" x14ac:dyDescent="0.2">
      <c r="C140" s="4"/>
      <c r="F140" s="11"/>
      <c r="K140" s="4"/>
    </row>
    <row r="141" spans="3:11" x14ac:dyDescent="0.2">
      <c r="C141" s="4"/>
      <c r="F141" s="11"/>
      <c r="K141" s="4"/>
    </row>
    <row r="142" spans="3:11" x14ac:dyDescent="0.2">
      <c r="C142" s="4"/>
      <c r="F142" s="11"/>
      <c r="K142" s="4"/>
    </row>
    <row r="143" spans="3:11" x14ac:dyDescent="0.2">
      <c r="C143" s="4"/>
      <c r="F143" s="11"/>
      <c r="K143" s="4"/>
    </row>
    <row r="144" spans="3:11" x14ac:dyDescent="0.2">
      <c r="C144" s="4"/>
      <c r="F144" s="11"/>
      <c r="K144" s="4"/>
    </row>
    <row r="145" spans="3:11" x14ac:dyDescent="0.2">
      <c r="C145" s="4"/>
      <c r="F145" s="11"/>
      <c r="K145" s="4"/>
    </row>
    <row r="146" spans="3:11" x14ac:dyDescent="0.2">
      <c r="C146" s="4"/>
      <c r="F146" s="11"/>
      <c r="K146" s="4"/>
    </row>
    <row r="147" spans="3:11" x14ac:dyDescent="0.2">
      <c r="C147" s="4"/>
      <c r="F147" s="11"/>
      <c r="K147" s="4"/>
    </row>
    <row r="148" spans="3:11" x14ac:dyDescent="0.2">
      <c r="C148" s="4"/>
      <c r="F148" s="11"/>
      <c r="K148" s="4"/>
    </row>
    <row r="149" spans="3:11" x14ac:dyDescent="0.2">
      <c r="C149" s="4"/>
      <c r="F149" s="11"/>
      <c r="K149" s="4"/>
    </row>
    <row r="150" spans="3:11" x14ac:dyDescent="0.2">
      <c r="C150" s="4"/>
      <c r="F150" s="11"/>
      <c r="K150" s="4"/>
    </row>
    <row r="151" spans="3:11" x14ac:dyDescent="0.2">
      <c r="C151" s="4"/>
      <c r="F151" s="11"/>
      <c r="K151" s="4"/>
    </row>
    <row r="152" spans="3:11" x14ac:dyDescent="0.2">
      <c r="C152" s="4"/>
      <c r="F152" s="11"/>
      <c r="K152" s="4"/>
    </row>
    <row r="153" spans="3:11" x14ac:dyDescent="0.2">
      <c r="C153" s="4"/>
      <c r="F153" s="11"/>
      <c r="K153" s="4"/>
    </row>
    <row r="154" spans="3:11" x14ac:dyDescent="0.2">
      <c r="C154" s="4"/>
      <c r="F154" s="11"/>
      <c r="K154" s="4"/>
    </row>
    <row r="155" spans="3:11" x14ac:dyDescent="0.2">
      <c r="C155" s="4"/>
      <c r="F155" s="11"/>
      <c r="K155" s="4"/>
    </row>
    <row r="156" spans="3:11" x14ac:dyDescent="0.2">
      <c r="C156" s="4"/>
      <c r="F156" s="11"/>
      <c r="K156" s="4"/>
    </row>
    <row r="157" spans="3:11" x14ac:dyDescent="0.2">
      <c r="C157" s="4"/>
      <c r="F157" s="11"/>
      <c r="K157" s="4"/>
    </row>
    <row r="158" spans="3:11" x14ac:dyDescent="0.2">
      <c r="C158" s="4"/>
      <c r="F158" s="11"/>
      <c r="K158" s="4"/>
    </row>
    <row r="159" spans="3:11" x14ac:dyDescent="0.2">
      <c r="C159" s="4"/>
      <c r="F159" s="11"/>
      <c r="K159" s="4"/>
    </row>
    <row r="160" spans="3:11" x14ac:dyDescent="0.2">
      <c r="C160" s="4"/>
      <c r="F160" s="11"/>
      <c r="K160" s="4"/>
    </row>
    <row r="161" spans="3:11" x14ac:dyDescent="0.2">
      <c r="C161" s="4"/>
      <c r="F161" s="11"/>
      <c r="K161" s="4"/>
    </row>
    <row r="162" spans="3:11" x14ac:dyDescent="0.2">
      <c r="C162" s="4"/>
      <c r="F162" s="11"/>
      <c r="K162" s="4"/>
    </row>
    <row r="163" spans="3:11" x14ac:dyDescent="0.2">
      <c r="C163" s="4"/>
      <c r="F163" s="11"/>
      <c r="K163" s="4"/>
    </row>
    <row r="164" spans="3:11" x14ac:dyDescent="0.2">
      <c r="C164" s="4"/>
      <c r="F164" s="11"/>
      <c r="K164" s="4"/>
    </row>
    <row r="165" spans="3:11" x14ac:dyDescent="0.2">
      <c r="C165" s="4"/>
      <c r="F165" s="11"/>
      <c r="K165" s="4"/>
    </row>
    <row r="166" spans="3:11" x14ac:dyDescent="0.2">
      <c r="C166" s="4"/>
      <c r="F166" s="11"/>
      <c r="K166" s="4"/>
    </row>
    <row r="167" spans="3:11" x14ac:dyDescent="0.2">
      <c r="C167" s="4"/>
      <c r="F167" s="11"/>
      <c r="K167" s="4"/>
    </row>
    <row r="168" spans="3:11" x14ac:dyDescent="0.2">
      <c r="C168" s="4"/>
      <c r="F168" s="11"/>
      <c r="K168" s="4"/>
    </row>
    <row r="169" spans="3:11" x14ac:dyDescent="0.2">
      <c r="C169" s="4"/>
      <c r="F169" s="11"/>
      <c r="K169" s="4"/>
    </row>
    <row r="170" spans="3:11" x14ac:dyDescent="0.2">
      <c r="C170" s="4"/>
      <c r="F170" s="11"/>
      <c r="K170" s="4"/>
    </row>
    <row r="171" spans="3:11" x14ac:dyDescent="0.2">
      <c r="C171" s="4"/>
      <c r="F171" s="11"/>
      <c r="K171" s="4"/>
    </row>
    <row r="172" spans="3:11" x14ac:dyDescent="0.2">
      <c r="C172" s="4"/>
      <c r="F172" s="11"/>
      <c r="K172" s="4"/>
    </row>
    <row r="173" spans="3:11" x14ac:dyDescent="0.2">
      <c r="C173" s="4"/>
      <c r="F173" s="11"/>
      <c r="K173" s="4"/>
    </row>
    <row r="174" spans="3:11" x14ac:dyDescent="0.2">
      <c r="C174" s="4"/>
      <c r="F174" s="11"/>
      <c r="K174" s="4"/>
    </row>
    <row r="175" spans="3:11" x14ac:dyDescent="0.2">
      <c r="C175" s="4"/>
      <c r="F175" s="11"/>
      <c r="K175" s="4"/>
    </row>
    <row r="176" spans="3:11" x14ac:dyDescent="0.2">
      <c r="C176" s="4"/>
      <c r="F176" s="11"/>
      <c r="K176" s="4"/>
    </row>
    <row r="177" spans="3:11" x14ac:dyDescent="0.2">
      <c r="C177" s="4"/>
      <c r="F177" s="11"/>
      <c r="K177" s="4"/>
    </row>
    <row r="178" spans="3:11" x14ac:dyDescent="0.2">
      <c r="C178" s="4"/>
      <c r="F178" s="11"/>
      <c r="K178" s="4"/>
    </row>
    <row r="179" spans="3:11" x14ac:dyDescent="0.2">
      <c r="C179" s="4"/>
      <c r="F179" s="11"/>
      <c r="K179" s="4"/>
    </row>
    <row r="180" spans="3:11" x14ac:dyDescent="0.2">
      <c r="C180" s="4"/>
      <c r="F180" s="11"/>
      <c r="K180" s="4"/>
    </row>
    <row r="181" spans="3:11" x14ac:dyDescent="0.2">
      <c r="C181" s="4"/>
      <c r="F181" s="11"/>
      <c r="K181" s="4"/>
    </row>
    <row r="182" spans="3:11" x14ac:dyDescent="0.2">
      <c r="C182" s="4"/>
      <c r="F182" s="11"/>
      <c r="K182" s="4"/>
    </row>
    <row r="183" spans="3:11" x14ac:dyDescent="0.2">
      <c r="C183" s="4"/>
      <c r="F183" s="11"/>
      <c r="K183" s="4"/>
    </row>
    <row r="184" spans="3:11" x14ac:dyDescent="0.2">
      <c r="C184" s="4"/>
      <c r="F184" s="11"/>
      <c r="K184" s="4"/>
    </row>
    <row r="185" spans="3:11" x14ac:dyDescent="0.2">
      <c r="C185" s="4"/>
      <c r="F185" s="11"/>
      <c r="K185" s="4"/>
    </row>
    <row r="186" spans="3:11" x14ac:dyDescent="0.2">
      <c r="C186" s="4"/>
      <c r="F186" s="11"/>
      <c r="K186" s="4"/>
    </row>
    <row r="187" spans="3:11" x14ac:dyDescent="0.2">
      <c r="C187" s="4"/>
      <c r="F187" s="11"/>
      <c r="K187" s="4"/>
    </row>
    <row r="188" spans="3:11" x14ac:dyDescent="0.2">
      <c r="C188" s="4"/>
      <c r="F188" s="11"/>
      <c r="K188" s="4"/>
    </row>
    <row r="189" spans="3:11" x14ac:dyDescent="0.2">
      <c r="C189" s="4"/>
      <c r="F189" s="11"/>
      <c r="K189" s="4"/>
    </row>
    <row r="190" spans="3:11" x14ac:dyDescent="0.2">
      <c r="C190" s="4"/>
      <c r="F190" s="11"/>
      <c r="K190" s="4"/>
    </row>
    <row r="191" spans="3:11" x14ac:dyDescent="0.2">
      <c r="C191" s="4"/>
      <c r="F191" s="11"/>
      <c r="K191" s="4"/>
    </row>
    <row r="192" spans="3:11" x14ac:dyDescent="0.2">
      <c r="C192" s="4"/>
      <c r="F192" s="11"/>
      <c r="K192" s="4"/>
    </row>
    <row r="193" spans="3:11" x14ac:dyDescent="0.2">
      <c r="C193" s="4"/>
      <c r="F193" s="11"/>
      <c r="K193" s="4"/>
    </row>
    <row r="194" spans="3:11" x14ac:dyDescent="0.2">
      <c r="C194" s="4"/>
      <c r="F194" s="11"/>
      <c r="K194" s="4"/>
    </row>
    <row r="195" spans="3:11" x14ac:dyDescent="0.2">
      <c r="C195" s="4"/>
      <c r="F195" s="11"/>
      <c r="K195" s="4"/>
    </row>
    <row r="196" spans="3:11" x14ac:dyDescent="0.2">
      <c r="C196" s="4"/>
      <c r="F196" s="11"/>
      <c r="K196" s="4"/>
    </row>
    <row r="197" spans="3:11" x14ac:dyDescent="0.2">
      <c r="C197" s="4"/>
      <c r="F197" s="11"/>
      <c r="K197" s="4"/>
    </row>
    <row r="198" spans="3:11" x14ac:dyDescent="0.2">
      <c r="C198" s="4"/>
      <c r="F198" s="11"/>
      <c r="K198" s="4"/>
    </row>
    <row r="199" spans="3:11" x14ac:dyDescent="0.2">
      <c r="C199" s="4"/>
      <c r="F199" s="11"/>
      <c r="K199" s="4"/>
    </row>
    <row r="200" spans="3:11" x14ac:dyDescent="0.2">
      <c r="C200" s="4"/>
      <c r="F200" s="11"/>
      <c r="K200" s="4"/>
    </row>
    <row r="201" spans="3:11" x14ac:dyDescent="0.2">
      <c r="C201" s="4"/>
      <c r="F201" s="11"/>
      <c r="K201" s="4"/>
    </row>
    <row r="202" spans="3:11" x14ac:dyDescent="0.2">
      <c r="C202" s="4"/>
      <c r="F202" s="11"/>
      <c r="K202" s="4"/>
    </row>
    <row r="203" spans="3:11" x14ac:dyDescent="0.2">
      <c r="C203" s="4"/>
      <c r="F203" s="11"/>
      <c r="K203" s="4"/>
    </row>
    <row r="204" spans="3:11" x14ac:dyDescent="0.2">
      <c r="C204" s="4"/>
      <c r="F204" s="11"/>
      <c r="K204" s="4"/>
    </row>
    <row r="205" spans="3:11" x14ac:dyDescent="0.2">
      <c r="C205" s="4"/>
      <c r="F205" s="11"/>
      <c r="K205" s="4"/>
    </row>
    <row r="206" spans="3:11" x14ac:dyDescent="0.2">
      <c r="C206" s="4"/>
      <c r="F206" s="11"/>
      <c r="K206" s="4"/>
    </row>
    <row r="207" spans="3:11" x14ac:dyDescent="0.2">
      <c r="C207" s="4"/>
      <c r="F207" s="11"/>
      <c r="K207" s="4"/>
    </row>
    <row r="208" spans="3:11" x14ac:dyDescent="0.2">
      <c r="C208" s="4"/>
      <c r="F208" s="11"/>
      <c r="K208" s="4"/>
    </row>
    <row r="209" spans="3:11" x14ac:dyDescent="0.2">
      <c r="C209" s="4"/>
      <c r="F209" s="11"/>
      <c r="K209" s="4"/>
    </row>
    <row r="210" spans="3:11" x14ac:dyDescent="0.2">
      <c r="C210" s="4"/>
      <c r="F210" s="11"/>
      <c r="K210" s="4"/>
    </row>
    <row r="211" spans="3:11" x14ac:dyDescent="0.2">
      <c r="C211" s="4"/>
      <c r="F211" s="11"/>
      <c r="K211" s="4"/>
    </row>
    <row r="212" spans="3:11" x14ac:dyDescent="0.2">
      <c r="C212" s="4"/>
      <c r="F212" s="11"/>
      <c r="K212" s="4"/>
    </row>
    <row r="213" spans="3:11" x14ac:dyDescent="0.2">
      <c r="C213" s="4"/>
      <c r="F213" s="11"/>
      <c r="K213" s="4"/>
    </row>
    <row r="214" spans="3:11" x14ac:dyDescent="0.2">
      <c r="C214" s="4"/>
      <c r="F214" s="11"/>
      <c r="K214" s="4"/>
    </row>
    <row r="215" spans="3:11" x14ac:dyDescent="0.2">
      <c r="C215" s="4"/>
      <c r="F215" s="11"/>
      <c r="K215" s="4"/>
    </row>
    <row r="216" spans="3:11" x14ac:dyDescent="0.2">
      <c r="C216" s="4"/>
      <c r="F216" s="11"/>
      <c r="K216" s="4"/>
    </row>
    <row r="217" spans="3:11" x14ac:dyDescent="0.2">
      <c r="C217" s="4"/>
      <c r="F217" s="11"/>
      <c r="K217" s="4"/>
    </row>
    <row r="218" spans="3:11" x14ac:dyDescent="0.2">
      <c r="C218" s="4"/>
      <c r="F218" s="11"/>
      <c r="K218" s="4"/>
    </row>
    <row r="219" spans="3:11" x14ac:dyDescent="0.2">
      <c r="C219" s="4"/>
      <c r="F219" s="11"/>
      <c r="K219" s="4"/>
    </row>
    <row r="220" spans="3:11" x14ac:dyDescent="0.2">
      <c r="C220" s="4"/>
      <c r="F220" s="11"/>
      <c r="K220" s="4"/>
    </row>
    <row r="221" spans="3:11" x14ac:dyDescent="0.2">
      <c r="C221" s="4"/>
      <c r="F221" s="11"/>
      <c r="K221" s="4"/>
    </row>
    <row r="222" spans="3:11" x14ac:dyDescent="0.2">
      <c r="C222" s="4"/>
      <c r="F222" s="11"/>
      <c r="K222" s="4"/>
    </row>
    <row r="223" spans="3:11" x14ac:dyDescent="0.2">
      <c r="C223" s="4"/>
      <c r="F223" s="11"/>
      <c r="K223" s="4"/>
    </row>
    <row r="224" spans="3:11" x14ac:dyDescent="0.2">
      <c r="C224" s="4"/>
      <c r="F224" s="11"/>
      <c r="K224" s="4"/>
    </row>
    <row r="225" spans="3:11" x14ac:dyDescent="0.2">
      <c r="C225" s="4"/>
      <c r="F225" s="11"/>
      <c r="K225" s="4"/>
    </row>
    <row r="226" spans="3:11" x14ac:dyDescent="0.2">
      <c r="C226" s="4"/>
      <c r="F226" s="11"/>
      <c r="K226" s="4"/>
    </row>
    <row r="227" spans="3:11" x14ac:dyDescent="0.2">
      <c r="C227" s="4"/>
      <c r="F227" s="11"/>
      <c r="K227" s="4"/>
    </row>
    <row r="228" spans="3:11" x14ac:dyDescent="0.2">
      <c r="C228" s="4"/>
      <c r="F228" s="11"/>
      <c r="K228" s="4"/>
    </row>
    <row r="229" spans="3:11" x14ac:dyDescent="0.2">
      <c r="C229" s="4"/>
      <c r="F229" s="11"/>
      <c r="K229" s="4"/>
    </row>
    <row r="230" spans="3:11" x14ac:dyDescent="0.2">
      <c r="C230" s="4"/>
      <c r="F230" s="11"/>
      <c r="K230" s="4"/>
    </row>
    <row r="231" spans="3:11" x14ac:dyDescent="0.2">
      <c r="C231" s="4"/>
      <c r="F231" s="11"/>
      <c r="K231" s="4"/>
    </row>
    <row r="232" spans="3:11" x14ac:dyDescent="0.2">
      <c r="C232" s="4"/>
      <c r="F232" s="11"/>
      <c r="K232" s="4"/>
    </row>
    <row r="233" spans="3:11" x14ac:dyDescent="0.2">
      <c r="C233" s="4"/>
      <c r="F233" s="11"/>
      <c r="K233" s="4"/>
    </row>
    <row r="234" spans="3:11" x14ac:dyDescent="0.2">
      <c r="C234" s="4"/>
      <c r="F234" s="11"/>
      <c r="K234" s="4"/>
    </row>
    <row r="235" spans="3:11" x14ac:dyDescent="0.2">
      <c r="C235" s="4"/>
      <c r="F235" s="11"/>
      <c r="K235" s="4"/>
    </row>
    <row r="236" spans="3:11" x14ac:dyDescent="0.2">
      <c r="C236" s="4"/>
      <c r="F236" s="11"/>
      <c r="K236" s="4"/>
    </row>
    <row r="237" spans="3:11" x14ac:dyDescent="0.2">
      <c r="C237" s="4"/>
      <c r="F237" s="11"/>
      <c r="K237" s="4"/>
    </row>
    <row r="238" spans="3:11" x14ac:dyDescent="0.2">
      <c r="C238" s="4"/>
      <c r="F238" s="11"/>
      <c r="K238" s="4"/>
    </row>
    <row r="239" spans="3:11" x14ac:dyDescent="0.2">
      <c r="C239" s="4"/>
      <c r="F239" s="11"/>
      <c r="K239" s="4"/>
    </row>
    <row r="240" spans="3:11" x14ac:dyDescent="0.2">
      <c r="C240" s="4"/>
      <c r="F240" s="11"/>
      <c r="K240" s="4"/>
    </row>
    <row r="241" spans="3:11" x14ac:dyDescent="0.2">
      <c r="C241" s="4"/>
      <c r="F241" s="11"/>
      <c r="K241" s="4"/>
    </row>
    <row r="242" spans="3:11" x14ac:dyDescent="0.2">
      <c r="C242" s="4"/>
      <c r="F242" s="11"/>
      <c r="K242" s="4"/>
    </row>
    <row r="243" spans="3:11" x14ac:dyDescent="0.2">
      <c r="C243" s="4"/>
      <c r="F243" s="11"/>
      <c r="K243" s="4"/>
    </row>
    <row r="244" spans="3:11" x14ac:dyDescent="0.2">
      <c r="C244" s="4"/>
      <c r="F244" s="11"/>
      <c r="K244" s="4"/>
    </row>
    <row r="245" spans="3:11" x14ac:dyDescent="0.2">
      <c r="C245" s="4"/>
      <c r="F245" s="11"/>
      <c r="K245" s="4"/>
    </row>
    <row r="246" spans="3:11" x14ac:dyDescent="0.2">
      <c r="C246" s="4"/>
      <c r="F246" s="11"/>
      <c r="K246" s="4"/>
    </row>
    <row r="247" spans="3:11" x14ac:dyDescent="0.2">
      <c r="C247" s="4"/>
      <c r="F247" s="11"/>
      <c r="K247" s="4"/>
    </row>
    <row r="248" spans="3:11" x14ac:dyDescent="0.2">
      <c r="C248" s="4"/>
      <c r="F248" s="11"/>
      <c r="K248" s="4"/>
    </row>
    <row r="249" spans="3:11" x14ac:dyDescent="0.2">
      <c r="C249" s="4"/>
      <c r="F249" s="11"/>
      <c r="K249" s="4"/>
    </row>
    <row r="250" spans="3:11" x14ac:dyDescent="0.2">
      <c r="C250" s="4"/>
      <c r="F250" s="11"/>
      <c r="K250" s="4"/>
    </row>
    <row r="251" spans="3:11" x14ac:dyDescent="0.2">
      <c r="C251" s="4"/>
      <c r="F251" s="11"/>
      <c r="K251" s="4"/>
    </row>
    <row r="252" spans="3:11" x14ac:dyDescent="0.2">
      <c r="C252" s="4"/>
      <c r="F252" s="11"/>
      <c r="K252" s="4"/>
    </row>
    <row r="253" spans="3:11" x14ac:dyDescent="0.2">
      <c r="C253" s="4"/>
      <c r="F253" s="11"/>
      <c r="K253" s="4"/>
    </row>
    <row r="254" spans="3:11" x14ac:dyDescent="0.2">
      <c r="C254" s="4"/>
      <c r="F254" s="11"/>
      <c r="K254" s="4"/>
    </row>
    <row r="255" spans="3:11" x14ac:dyDescent="0.2">
      <c r="C255" s="4"/>
      <c r="F255" s="11"/>
      <c r="K255" s="4"/>
    </row>
    <row r="256" spans="3:11" x14ac:dyDescent="0.2">
      <c r="C256" s="4"/>
      <c r="F256" s="11"/>
      <c r="K256" s="4"/>
    </row>
    <row r="257" spans="3:11" x14ac:dyDescent="0.2">
      <c r="C257" s="4"/>
      <c r="F257" s="11"/>
      <c r="K257" s="4"/>
    </row>
    <row r="258" spans="3:11" x14ac:dyDescent="0.2">
      <c r="C258" s="4"/>
      <c r="F258" s="11"/>
      <c r="K258" s="4"/>
    </row>
    <row r="259" spans="3:11" x14ac:dyDescent="0.2">
      <c r="C259" s="4"/>
      <c r="F259" s="11"/>
      <c r="K259" s="4"/>
    </row>
    <row r="260" spans="3:11" x14ac:dyDescent="0.2">
      <c r="C260" s="4"/>
      <c r="F260" s="11"/>
      <c r="K260" s="4"/>
    </row>
    <row r="261" spans="3:11" x14ac:dyDescent="0.2">
      <c r="C261" s="4"/>
      <c r="F261" s="11"/>
      <c r="K261" s="4"/>
    </row>
    <row r="262" spans="3:11" x14ac:dyDescent="0.2">
      <c r="C262" s="4"/>
      <c r="F262" s="11"/>
      <c r="K262" s="4"/>
    </row>
    <row r="263" spans="3:11" x14ac:dyDescent="0.2">
      <c r="C263" s="4"/>
      <c r="F263" s="11"/>
      <c r="K263" s="4"/>
    </row>
    <row r="264" spans="3:11" x14ac:dyDescent="0.2">
      <c r="C264" s="4"/>
      <c r="F264" s="11"/>
      <c r="K264" s="4"/>
    </row>
    <row r="265" spans="3:11" x14ac:dyDescent="0.2">
      <c r="C265" s="4"/>
      <c r="F265" s="11"/>
      <c r="K265" s="4"/>
    </row>
    <row r="266" spans="3:11" x14ac:dyDescent="0.2">
      <c r="C266" s="4"/>
      <c r="F266" s="11"/>
      <c r="K266" s="4"/>
    </row>
    <row r="267" spans="3:11" x14ac:dyDescent="0.2">
      <c r="C267" s="4"/>
      <c r="F267" s="11"/>
      <c r="K267" s="4"/>
    </row>
    <row r="268" spans="3:11" x14ac:dyDescent="0.2">
      <c r="C268" s="4"/>
      <c r="F268" s="11"/>
      <c r="K268" s="4"/>
    </row>
    <row r="269" spans="3:11" x14ac:dyDescent="0.2">
      <c r="C269" s="4"/>
      <c r="F269" s="11"/>
      <c r="K269" s="4"/>
    </row>
    <row r="270" spans="3:11" x14ac:dyDescent="0.2">
      <c r="C270" s="4"/>
      <c r="F270" s="11"/>
      <c r="K270" s="4"/>
    </row>
    <row r="271" spans="3:11" x14ac:dyDescent="0.2">
      <c r="C271" s="4"/>
      <c r="F271" s="11"/>
      <c r="K271" s="4"/>
    </row>
    <row r="272" spans="3:11" x14ac:dyDescent="0.2">
      <c r="C272" s="4"/>
      <c r="F272" s="11"/>
      <c r="K272" s="4"/>
    </row>
    <row r="273" spans="3:11" x14ac:dyDescent="0.2">
      <c r="C273" s="4"/>
      <c r="F273" s="11"/>
      <c r="K273" s="4"/>
    </row>
    <row r="274" spans="3:11" x14ac:dyDescent="0.2">
      <c r="C274" s="4"/>
      <c r="F274" s="11"/>
      <c r="K274" s="4"/>
    </row>
    <row r="275" spans="3:11" x14ac:dyDescent="0.2">
      <c r="C275" s="4"/>
      <c r="F275" s="11"/>
      <c r="K275" s="4"/>
    </row>
    <row r="276" spans="3:11" x14ac:dyDescent="0.2">
      <c r="C276" s="4"/>
      <c r="F276" s="11"/>
      <c r="K276" s="4"/>
    </row>
    <row r="277" spans="3:11" x14ac:dyDescent="0.2">
      <c r="C277" s="4"/>
      <c r="F277" s="11"/>
      <c r="K277" s="4"/>
    </row>
    <row r="278" spans="3:11" x14ac:dyDescent="0.2">
      <c r="C278" s="4"/>
      <c r="F278" s="11"/>
      <c r="K278" s="4"/>
    </row>
    <row r="279" spans="3:11" x14ac:dyDescent="0.2">
      <c r="C279" s="4"/>
      <c r="F279" s="11"/>
      <c r="K279" s="4"/>
    </row>
    <row r="280" spans="3:11" x14ac:dyDescent="0.2">
      <c r="C280" s="4"/>
      <c r="F280" s="11"/>
      <c r="K280" s="4"/>
    </row>
    <row r="281" spans="3:11" x14ac:dyDescent="0.2">
      <c r="C281" s="4"/>
      <c r="F281" s="11"/>
      <c r="K281" s="4"/>
    </row>
    <row r="282" spans="3:11" x14ac:dyDescent="0.2">
      <c r="C282" s="4"/>
      <c r="F282" s="11"/>
      <c r="K282" s="4"/>
    </row>
    <row r="283" spans="3:11" x14ac:dyDescent="0.2">
      <c r="C283" s="4"/>
      <c r="F283" s="11"/>
      <c r="K283" s="4"/>
    </row>
    <row r="284" spans="3:11" x14ac:dyDescent="0.2">
      <c r="C284" s="4"/>
      <c r="F284" s="11"/>
      <c r="K284" s="4"/>
    </row>
    <row r="285" spans="3:11" x14ac:dyDescent="0.2">
      <c r="C285" s="4"/>
      <c r="F285" s="11"/>
      <c r="K285" s="4"/>
    </row>
    <row r="286" spans="3:11" x14ac:dyDescent="0.2">
      <c r="C286" s="4"/>
      <c r="F286" s="11"/>
      <c r="K286" s="4"/>
    </row>
    <row r="287" spans="3:11" x14ac:dyDescent="0.2">
      <c r="C287" s="4"/>
      <c r="F287" s="11"/>
      <c r="K287" s="4"/>
    </row>
    <row r="288" spans="3:11" x14ac:dyDescent="0.2">
      <c r="C288" s="4"/>
      <c r="F288" s="11"/>
      <c r="K288" s="4"/>
    </row>
    <row r="289" spans="3:11" x14ac:dyDescent="0.2">
      <c r="C289" s="4"/>
      <c r="F289" s="11"/>
      <c r="K289" s="4"/>
    </row>
    <row r="290" spans="3:11" x14ac:dyDescent="0.2">
      <c r="C290" s="4"/>
      <c r="F290" s="11"/>
      <c r="K290" s="4"/>
    </row>
    <row r="291" spans="3:11" x14ac:dyDescent="0.2">
      <c r="C291" s="4"/>
      <c r="F291" s="11"/>
      <c r="K291" s="4"/>
    </row>
    <row r="292" spans="3:11" x14ac:dyDescent="0.2">
      <c r="C292" s="4"/>
      <c r="F292" s="11"/>
      <c r="K292" s="4"/>
    </row>
    <row r="293" spans="3:11" x14ac:dyDescent="0.2">
      <c r="C293" s="4"/>
      <c r="F293" s="11"/>
      <c r="K293" s="4"/>
    </row>
    <row r="294" spans="3:11" x14ac:dyDescent="0.2">
      <c r="C294" s="4"/>
      <c r="F294" s="11"/>
      <c r="K294" s="4"/>
    </row>
    <row r="295" spans="3:11" x14ac:dyDescent="0.2">
      <c r="C295" s="4"/>
      <c r="F295" s="11"/>
      <c r="K295" s="4"/>
    </row>
    <row r="296" spans="3:11" x14ac:dyDescent="0.2">
      <c r="C296" s="4"/>
      <c r="F296" s="11"/>
      <c r="K296" s="4"/>
    </row>
    <row r="297" spans="3:11" x14ac:dyDescent="0.2">
      <c r="C297" s="4"/>
      <c r="F297" s="11"/>
      <c r="K297" s="4"/>
    </row>
    <row r="298" spans="3:11" x14ac:dyDescent="0.2">
      <c r="C298" s="4"/>
      <c r="F298" s="11"/>
      <c r="K298" s="4"/>
    </row>
    <row r="299" spans="3:11" x14ac:dyDescent="0.2">
      <c r="C299" s="4"/>
      <c r="F299" s="11"/>
      <c r="K299" s="4"/>
    </row>
    <row r="300" spans="3:11" x14ac:dyDescent="0.2">
      <c r="C300" s="4"/>
      <c r="F300" s="11"/>
      <c r="K300" s="4"/>
    </row>
    <row r="301" spans="3:11" x14ac:dyDescent="0.2">
      <c r="C301" s="4"/>
      <c r="F301" s="11"/>
      <c r="K301" s="4"/>
    </row>
  </sheetData>
  <mergeCells count="4">
    <mergeCell ref="B3:H3"/>
    <mergeCell ref="J3:L3"/>
    <mergeCell ref="J1:K1"/>
    <mergeCell ref="J2:K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Títulos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Sahão Turquino</dc:creator>
  <cp:lastModifiedBy>Lucas Sahão Turquino</cp:lastModifiedBy>
  <dcterms:created xsi:type="dcterms:W3CDTF">2024-03-16T16:09:25Z</dcterms:created>
  <dcterms:modified xsi:type="dcterms:W3CDTF">2026-03-04T20:10:34Z</dcterms:modified>
</cp:coreProperties>
</file>